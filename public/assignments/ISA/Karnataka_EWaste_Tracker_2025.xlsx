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7.xml" ContentType="application/vnd.openxmlformats-officedocument.spreadsheetml.comments+xml"/>
  <Override PartName="/xl/comments6.xml" ContentType="application/vnd.openxmlformats-officedocument.spreadsheetml.comment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1_800E0A4A7CAC9862C0CE07DD63E23D18508D00AA" xr6:coauthVersionLast="47" xr6:coauthVersionMax="47" xr10:uidLastSave="{00000000-0000-0000-0000-000000000000}"/>
  <bookViews>
    <workbookView xWindow="0" yWindow="0" windowWidth="16384" windowHeight="8192" tabRatio="500" activeTab="6" xr2:uid="{00000000-000D-0000-FFFF-FFFF00000000}"/>
  </bookViews>
  <sheets>
    <sheet name="0_Scorecard" sheetId="1" r:id="rId1"/>
    <sheet name="Instructions" sheetId="2" r:id="rId2"/>
    <sheet name="1_Generation_Inventory" sheetId="3" r:id="rId3"/>
    <sheet name="2_Collection_Log" sheetId="4" r:id="rId4"/>
    <sheet name="3_Recycling_Infrastructure" sheetId="5" r:id="rId5"/>
    <sheet name="4_Compliance_Tracker" sheetId="6" r:id="rId6"/>
    <sheet name="5_Informal_Sector_Hotspots" sheetId="7" r:id="rId7"/>
    <sheet name="6_Env_Health_Monitoring" sheetId="8" r:id="rId8"/>
    <sheet name="7_Awareness_Programs" sheetId="9" r:id="rId9"/>
    <sheet name="8_Data_Sources_Notes" sheetId="10" r:id="rId10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" i="9" l="1"/>
  <c r="C29" i="9"/>
  <c r="C28" i="9"/>
  <c r="C30" i="8"/>
  <c r="C29" i="8"/>
  <c r="C28" i="8"/>
  <c r="C31" i="7"/>
  <c r="C30" i="7"/>
  <c r="C29" i="7"/>
  <c r="C28" i="7"/>
  <c r="C33" i="6"/>
  <c r="C32" i="6"/>
  <c r="C31" i="6"/>
  <c r="C30" i="6"/>
  <c r="C29" i="6"/>
  <c r="C28" i="6"/>
  <c r="F28" i="5"/>
  <c r="E28" i="5"/>
  <c r="D28" i="5"/>
  <c r="G27" i="4"/>
  <c r="F27" i="4"/>
  <c r="E27" i="4"/>
  <c r="D27" i="4"/>
  <c r="J6" i="3"/>
  <c r="C6" i="4"/>
  <c r="J7" i="3"/>
  <c r="C7" i="4"/>
  <c r="J8" i="3"/>
  <c r="C8" i="4"/>
  <c r="J9" i="3"/>
  <c r="C9" i="4"/>
  <c r="C25" i="4"/>
  <c r="C24" i="4"/>
  <c r="C23" i="4"/>
  <c r="C22" i="4"/>
  <c r="C21" i="4"/>
  <c r="C20" i="4"/>
  <c r="C19" i="4"/>
  <c r="C18" i="4"/>
  <c r="J17" i="3"/>
  <c r="C17" i="4"/>
  <c r="J16" i="3"/>
  <c r="C16" i="4"/>
  <c r="J15" i="3"/>
  <c r="C15" i="4"/>
  <c r="J14" i="3"/>
  <c r="C14" i="4"/>
  <c r="J13" i="3"/>
  <c r="C13" i="4"/>
  <c r="J12" i="3"/>
  <c r="C12" i="4"/>
  <c r="J11" i="3"/>
  <c r="C11" i="4"/>
  <c r="J10" i="3"/>
  <c r="C10" i="4"/>
  <c r="C27" i="4"/>
  <c r="J18" i="3"/>
  <c r="J19" i="3"/>
  <c r="J20" i="3"/>
  <c r="J21" i="3"/>
  <c r="J25" i="3"/>
  <c r="J24" i="3"/>
  <c r="J23" i="3"/>
  <c r="J22" i="3"/>
  <c r="J27" i="3"/>
  <c r="I27" i="3"/>
  <c r="H27" i="3"/>
  <c r="G27" i="3"/>
  <c r="F27" i="3"/>
  <c r="E27" i="3"/>
  <c r="D27" i="3"/>
  <c r="C27" i="3"/>
  <c r="F10" i="1"/>
  <c r="G10" i="1"/>
  <c r="H10" i="1"/>
  <c r="F11" i="1"/>
  <c r="G11" i="1"/>
  <c r="H11" i="1"/>
  <c r="F12" i="1"/>
  <c r="G12" i="1"/>
  <c r="H12" i="1"/>
  <c r="F13" i="1"/>
  <c r="G13" i="1"/>
  <c r="H13" i="1"/>
  <c r="F16" i="1"/>
  <c r="G16" i="1"/>
  <c r="H16" i="1"/>
  <c r="F15" i="1"/>
  <c r="G15" i="1"/>
  <c r="H15" i="1"/>
  <c r="F14" i="1"/>
  <c r="G14" i="1"/>
  <c r="H14" i="1"/>
  <c r="H17" i="1"/>
  <c r="D17" i="1"/>
  <c r="F5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200-000001000000}">
      <text>
        <r>
          <rPr>
            <sz val="10"/>
            <rFont val="Arial"/>
            <family val="2"/>
          </rPr>
          <t>Population: 2025 estimate = 2011 Census district population x (Karnataka state 2025 projected population / Karnataka 2011 Census population). State 2025 projection ~6.86 crore per 'Population Projections for Indian States 2011-2036' (Technical Group on Population Projections, Ministry of Health &amp; Family Welfare, GoI). District 2011 figures: Census of India 2011. This is a simple uniform-growth approximation, not an official district-level projection -- urban districts (e.g. Bengaluru Urban) have likely grown faster than this state average.</t>
        </r>
      </text>
    </comment>
    <comment ref="J5" authorId="0" shapeId="0" xr:uid="{00000000-0006-0000-0200-000002000000}">
      <text>
        <r>
          <rPr>
            <sz val="10"/>
            <rFont val="Arial"/>
            <family val="2"/>
          </rPr>
          <t>Total generated (kg) = district population x 0.97 kg/person/year. Per-capita rate derived from CPCB national e-waste generation for FY2024-25 (13,97,955.59 MT; source: PIB press release / Rajya Sabha reply, 24-Jul-2025) divided by India's estimated 2025 population (~143.8 crore). Category split (IT&amp;Telecom 30% / Consumer Electrical&amp;Electronics 20% / Large&amp;Small Equipment 35% / Lighting 3% / Batteries 8% / Other 4%) is an indicative assumption based on typical Indian WEEE stream composition -- CPCB does not publish an official district-wise category split. Replace with actual sales/EPR-based figures as KSPCB collects them.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300-000001000000}">
      <text>
        <r>
          <rPr>
            <sz val="10"/>
            <rFont val="Arial"/>
            <family val="2"/>
          </rPr>
          <t>Collected (kg): illustrative estimate = 65% of generated (Sheet 1), representing formal collection through registered centres + producer take-back/PRO channels. Not an audited KSPCB figure -- replace with actual collection-centre log totals.</t>
        </r>
      </text>
    </comment>
    <comment ref="E5" authorId="0" shapeId="0" xr:uid="{00000000-0006-0000-0300-000002000000}">
      <text>
        <r>
          <rPr>
            <sz val="10"/>
            <rFont val="Arial"/>
            <family val="2"/>
          </rPr>
          <t>Registered Collection Centres: illustrative estimate (~1 centre per 4 lakh population), since a public per-district count of KSPCB-registered collection centres was not found. Replace with the KSPCB collection-centre register.</t>
        </r>
      </text>
    </comment>
    <comment ref="F5" authorId="0" shapeId="0" xr:uid="{00000000-0006-0000-0300-000003000000}">
      <text>
        <r>
          <rPr>
            <sz val="10"/>
            <rFont val="Arial"/>
            <family val="2"/>
          </rPr>
          <t>EPR Collection Target = 60% of generated e-waste, per Schedule III of the E-Waste (Management) Rules, 2022 (target is 60% for FY2023-24 and FY2024-25, rising to 70% for FY2025-26/26-27 and 80% from FY2027-28). Applied uniformly per district here as a simplification -- real EPR targets are computed per-producer against their own past sales, not per district.</t>
        </r>
      </text>
    </comment>
    <comment ref="G5" authorId="0" shapeId="0" xr:uid="{00000000-0006-0000-0300-000004000000}">
      <text>
        <r>
          <rPr>
            <sz val="10"/>
            <rFont val="Arial"/>
            <family val="2"/>
          </rPr>
          <t>EPR Collection Achieved: illustrative figure (~92% of target). CPCB's national FY2024-25 figure for e-waste collected/dismantled/recycled/disposed was 70.71% of generation (source: PIB/Rajya Sabha reply, 24-Jul-2025) -- district-level achievement is not published; replace with actual EPR-certificate data once available.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400-00000C000000}">
      <text>
        <r>
          <rPr>
            <sz val="10"/>
            <rFont val="Arial"/>
            <family val="2"/>
          </rPr>
          <t>Authorization numbers are not published in the source lists used for this sheet (CPCB/SPCB authorized e-waste recycler/dismantler registers). Left as 'Not publicly disclosed' rather than invented -- obtain the exact number from each entity's KSPCB consent order.</t>
        </r>
      </text>
    </comment>
    <comment ref="E5" authorId="0" shapeId="0" xr:uid="{00000000-0006-0000-0400-00000D000000}">
      <text>
        <r>
          <rPr>
            <sz val="10"/>
            <rFont val="Arial"/>
            <family val="2"/>
          </rPr>
          <t>Installed capacity figures are drawn from company/press disclosures where available (Cerebra ~96,000 MTPA; E-Parisaraa ~15,000 MTPA; Attero new Bengaluru plant 25,000 MTPA announced Dec-2025; Trishyiraya 900 MTPA per a 2019 CPCB-published Karnataka authorization list). Where no public figure was found, the cell is left blank rather than estimated.</t>
        </r>
      </text>
    </comment>
    <comment ref="F5" authorId="0" shapeId="0" xr:uid="{00000000-0006-0000-0400-00000E000000}">
      <text>
        <r>
          <rPr>
            <sz val="10"/>
            <rFont val="Arial"/>
            <family val="2"/>
          </rPr>
          <t>Quantity processed this year: modelled by allocating Karnataka's verified state-wide FY2024-25 total of 16,151.766 tonnes processed by registered recyclers (source: PIB press release / Rajya Sabha reply, 24-Jul-2025, citing CPCB) across the recyclers with known capacity, roughly in proportion to capacity. This is an estimate, not an audited per-company figure -- CPCB/KSPCB do not publish company-wise processed tonnage.</t>
        </r>
      </text>
    </comment>
    <comment ref="G5" authorId="0" shapeId="0" xr:uid="{00000000-0006-0000-0400-00000F000000}">
      <text>
        <r>
          <rPr>
            <sz val="10"/>
            <rFont val="Arial"/>
            <family val="2"/>
          </rPr>
          <t>Material recovery rate: indicative only (higher for automated/mechanised lines, lower for manual dismantling), based on general industry reporting -- not a disclosed per-company figure.</t>
        </r>
      </text>
    </comment>
    <comment ref="B6" authorId="0" shapeId="0" xr:uid="{00000000-0006-0000-0400-000001000000}">
      <text>
        <r>
          <rPr>
            <sz val="10"/>
            <rFont val="Arial"/>
            <family val="2"/>
          </rPr>
          <t>India's largest e-waste recycler; automated facility at Narasapura, Kolar (Cerebra Green). Capacity per company/press disclosures (~96,000-97,000 MTPA).</t>
        </r>
      </text>
    </comment>
    <comment ref="B7" authorId="0" shapeId="0" xr:uid="{00000000-0006-0000-0400-000002000000}">
      <text>
        <r>
          <rPr>
            <sz val="10"/>
            <rFont val="Arial"/>
            <family val="2"/>
          </rPr>
          <t>India's first CPCB/KSPCB-authorized e-waste recycler (est. 2004/05), Dobaspet, Nelamangala.</t>
        </r>
      </text>
    </comment>
    <comment ref="B8" authorId="0" shapeId="0" xr:uid="{00000000-0006-0000-0400-000003000000}">
      <text>
        <r>
          <rPr>
            <sz val="10"/>
            <rFont val="Arial"/>
            <family val="2"/>
          </rPr>
          <t>New e-waste recycling plant announced Dec-2025 as part of Attero's national capacity expansion; not yet operational during FY2024-25, so processed quantity for that year is nil.</t>
        </r>
      </text>
    </comment>
    <comment ref="B9" authorId="0" shapeId="0" xr:uid="{00000000-0006-0000-0400-000004000000}">
      <text>
        <r>
          <rPr>
            <sz val="10"/>
            <rFont val="Arial"/>
            <family val="2"/>
          </rPr>
          <t>Peenya Industrial Estate. Capacity per last publicly available CPCB/SPCB authorization list (circa 2019) -- may since have been revised upward; confirm with KSPCB consent order.</t>
        </r>
      </text>
    </comment>
    <comment ref="B10" authorId="0" shapeId="0" xr:uid="{00000000-0006-0000-0400-000005000000}">
      <text>
        <r>
          <rPr>
            <sz val="10"/>
            <rFont val="Arial"/>
            <family val="2"/>
          </rPr>
          <t>Dobaspet, Nelamangala; part of the Ramky Enviro Engineers group. Facility-specific capacity/throughput not publicly disclosed.</t>
        </r>
      </text>
    </comment>
    <comment ref="B11" authorId="0" shapeId="0" xr:uid="{00000000-0006-0000-0400-000006000000}">
      <text>
        <r>
          <rPr>
            <sz val="10"/>
            <rFont val="Arial"/>
            <family val="2"/>
          </rPr>
          <t>KSPCB-authorized e-waste recycler, Bengaluru. Capacity/throughput not publicly disclosed.</t>
        </r>
      </text>
    </comment>
    <comment ref="B12" authorId="0" shapeId="0" xr:uid="{00000000-0006-0000-0400-000007000000}">
      <text>
        <r>
          <rPr>
            <sz val="10"/>
            <rFont val="Arial"/>
            <family val="2"/>
          </rPr>
          <t>Bommanahalli, Bengaluru. Capacity/throughput not publicly disclosed.</t>
        </r>
      </text>
    </comment>
    <comment ref="B13" authorId="0" shapeId="0" xr:uid="{00000000-0006-0000-0400-000008000000}">
      <text>
        <r>
          <rPr>
            <sz val="10"/>
            <rFont val="Arial"/>
            <family val="2"/>
          </rPr>
          <t>Mysore Road, Bengaluru. Capacity/throughput not publicly disclosed.</t>
        </r>
      </text>
    </comment>
    <comment ref="B14" authorId="0" shapeId="0" xr:uid="{00000000-0006-0000-0400-000009000000}">
      <text>
        <r>
          <rPr>
            <sz val="10"/>
            <rFont val="Arial"/>
            <family val="2"/>
          </rPr>
          <t>Bidadi, Ramanagara District. Capacity/throughput not publicly disclosed.</t>
        </r>
      </text>
    </comment>
    <comment ref="B15" authorId="0" shapeId="0" xr:uid="{00000000-0006-0000-0400-00000A000000}">
      <text>
        <r>
          <rPr>
            <sz val="10"/>
            <rFont val="Arial"/>
            <family val="2"/>
          </rPr>
          <t>Additional Cerebra unit (refurbishing/EMS) distinct from the main Narasapura recycling plant listed above.</t>
        </r>
      </text>
    </comment>
    <comment ref="B28" authorId="0" shapeId="0" xr:uid="{00000000-0006-0000-0400-00000B000000}">
      <text>
        <r>
          <rPr>
            <sz val="10"/>
            <rFont val="Arial"/>
            <family val="2"/>
          </rPr>
          <t>Pre-existing template formula quirk (left untouched): D28 sums column D, which is 'District' (text), so it will always evaluate to 0. It was likely meant to count the number of recyclers (e.g. =COUNTA(B6:B26)) rather than sum the district column.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500-000001000000}">
      <text>
        <r>
          <rPr>
            <sz val="10"/>
            <rFont val="Arial"/>
            <family val="2"/>
          </rPr>
          <t>All rows on this sheet are illustrative placeholders, not verified compliance records for real, named companies. Real per-producer compliance/inspection/penalty data for Karnataka was not found in publicly available CPCB/KSPCB sources at the time of writing.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5" authorId="0" shapeId="0" xr:uid="{00000000-0006-0000-0600-000001000000}">
      <text>
        <r>
          <rPr>
            <sz val="10"/>
            <rFont val="Arial"/>
            <family val="2"/>
          </rPr>
          <t>Worker counts, status and formalization-action text in this sheet are illustrative placeholders, not verified survey figures.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5" authorId="0" shapeId="0" xr:uid="{00000000-0006-0000-0700-000003000000}">
      <text>
        <r>
          <rPr>
            <sz val="10"/>
            <rFont val="Arial"/>
            <family val="2"/>
          </rPr>
          <t>Monitoring results and beneficiary counts here are illustrative, not verified KSPCB monitoring data.</t>
        </r>
      </text>
    </comment>
    <comment ref="B29" authorId="0" shapeId="0" xr:uid="{00000000-0006-0000-0700-000001000000}">
      <text>
        <r>
          <rPr>
            <sz val="10"/>
            <rFont val="Arial"/>
            <family val="2"/>
          </rPr>
          <t>Pre-existing template formula quirk (left untouched): this COUNTIF checks column F ('Result' - free text) rather than column G ('Health Camp Conducted (Y/N)'), so it will generally read as 0 regardless of the Y/N entries in column G. Consider changing the formula in C29 to =COUNTIF(G6:G26,"Yes") if you want this cell to work as labelled.</t>
        </r>
      </text>
    </comment>
    <comment ref="B30" authorId="0" shapeId="0" xr:uid="{00000000-0006-0000-0700-000002000000}">
      <text>
        <r>
          <rPr>
            <sz val="10"/>
            <rFont val="Arial"/>
            <family val="2"/>
          </rPr>
          <t>Pre-existing template formula quirk (left untouched): this SUMs column G ("Health Camp Conducted (Y/N)" - text) rather than column H ("Beneficiaries Screened" - numeric), so it will generally read as 0. Consider changing the formula in C30 to =SUM(H6:H26).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5" authorId="0" shapeId="0" xr:uid="{00000000-0006-0000-0800-000003000000}">
      <text>
        <r>
          <rPr>
            <sz val="10"/>
            <rFont val="Arial"/>
            <family val="2"/>
          </rPr>
          <t>Participant counts are illustrative, not verified attendance figures.</t>
        </r>
      </text>
    </comment>
    <comment ref="B29" authorId="0" shapeId="0" xr:uid="{00000000-0006-0000-0800-000001000000}">
      <text>
        <r>
          <rPr>
            <sz val="10"/>
            <rFont val="Arial"/>
            <family val="2"/>
          </rPr>
          <t>Pre-existing template formula quirk (left untouched): this COUNTIF checks column D (Date) rather than column E (Type), so it will generally read as 0. Consider changing the formula in C29 to =COUNTIF(E6:E26,"School Collection Drive")+COUNTIF(E6:E26,"RWA/Community Drive").</t>
        </r>
      </text>
    </comment>
    <comment ref="B30" authorId="0" shapeId="0" xr:uid="{00000000-0006-0000-0800-000002000000}">
      <text>
        <r>
          <rPr>
            <sz val="10"/>
            <rFont val="Arial"/>
            <family val="2"/>
          </rPr>
          <t>Pre-existing template formula quirk (left untouched): this SUMs column F ("Target Audience" - text) rather than column G ("Participants Reached" - numeric), so it will generally read as 0. Consider changing the formula in C30 to =SUM(G6:G26).</t>
        </r>
      </text>
    </comment>
  </commentList>
</comments>
</file>

<file path=xl/sharedStrings.xml><?xml version="1.0" encoding="utf-8"?>
<sst xmlns="http://schemas.openxmlformats.org/spreadsheetml/2006/main" count="452" uniqueCount="259">
  <si>
    <t>State E-Waste Management Scorecard</t>
  </si>
  <si>
    <t>Live score out of 100, calculated from the 7 data sheets. Set benchmarks in the yellow 'Target/Benchmark' cells.</t>
  </si>
  <si>
    <t>STATE SCORE</t>
  </si>
  <si>
    <t>#</t>
  </si>
  <si>
    <t>Category</t>
  </si>
  <si>
    <t>Weight</t>
  </si>
  <si>
    <t>Benchmark / Target</t>
  </si>
  <si>
    <t>Achieved Value</t>
  </si>
  <si>
    <t>Achievement %</t>
  </si>
  <si>
    <t>Score Earned</t>
  </si>
  <si>
    <t>Generation &amp; Inventory</t>
  </si>
  <si>
    <t>Collection Performance</t>
  </si>
  <si>
    <t>Formal Recycling &amp; Treatment</t>
  </si>
  <si>
    <t>Regulatory Compliance</t>
  </si>
  <si>
    <t>Informal Sector Integration</t>
  </si>
  <si>
    <t>Environmental &amp; Health Safeguards</t>
  </si>
  <si>
    <t>Awareness &amp; Outreach</t>
  </si>
  <si>
    <t>TOTAL SCORE</t>
  </si>
  <si>
    <t>Score Bands:</t>
  </si>
  <si>
    <t>85-100</t>
  </si>
  <si>
    <t>Excellent</t>
  </si>
  <si>
    <t>65-84</t>
  </si>
  <si>
    <t>Good</t>
  </si>
  <si>
    <t>45-64</t>
  </si>
  <si>
    <t>Needs Improvement</t>
  </si>
  <si>
    <t>0-44</t>
  </si>
  <si>
    <t>Critical</t>
  </si>
  <si>
    <t>State E-Waste Management Tracker - Scoring Methodology</t>
  </si>
  <si>
    <t>A 100-point scorecard for monitoring state-level e-waste generation, collection, formal treatment, compliance, and health/environmental safeguards, in line with the E-Waste (Management) Rules, 2022 (CPCB, India).</t>
  </si>
  <si>
    <t>Indicators (data source sheet)</t>
  </si>
  <si>
    <t>District reporting completeness; category-wise breakup; annual inventory update  -&gt;  '1_Generation_Inventory'</t>
  </si>
  <si>
    <t>Collection rate (%); collection centers per million population; EPR collection-target achievement  -&gt;  '2_Collection_Log'</t>
  </si>
  <si>
    <t>% processed by authorized recyclers; installed capacity vs generation; material recovery rate  -&gt;  '3_Recycling_Infrastructure'</t>
  </si>
  <si>
    <t>% producers/EPR entities compliant; inspections conducted vs planned; penalties resolved  -&gt;  '4_Compliance_Tracker'</t>
  </si>
  <si>
    <t>% hotspots formalized/remediated; % informal workers registered/trained  -&gt;  '5_Informal_Sector_Hotspots'</t>
  </si>
  <si>
    <t>% hotspots environmentally monitored; health screening camps conducted  -&gt;  '6_Env_Health_Monitoring'</t>
  </si>
  <si>
    <t>Awareness campaigns vs target; collection drives vs target  -&gt;  '7_Awareness_Programs'</t>
  </si>
  <si>
    <t>TOTAL</t>
  </si>
  <si>
    <t>How to use this workbook</t>
  </si>
  <si>
    <t>- Enter data in the 7 numbered sheets (yellow cells = your input). Each sheet has one grey example row - replace/delete it.</t>
  </si>
  <si>
    <t>- Set your benchmarks/targets on the '0_Scorecard' sheet (yellow cells) - e.g. collection centers per million population, EPR targets, inspection/campaign targets.</t>
  </si>
  <si>
    <t>- The '0_Scorecard' sheet pulls live figures from all 7 sheets and computes the state's score out of 100 automatically. Do not overwrite formula cells.</t>
  </si>
  <si>
    <t>- Score bands (customisable on Scorecard): 85-100 Excellent | 65-84 Good | 45-64 Needs Improvement | Below 45 Critical.</t>
  </si>
  <si>
    <t>- Re-run this tracker every quarter/year to monitor trend - copy the Scorecard total into a tracking log for year-on-year comparison.</t>
  </si>
  <si>
    <t>Generation Inventory</t>
  </si>
  <si>
    <t>One row per district. Category-wise breakup based on E-Waste (Management) Rules, 2022, Schedule I (simplified). NOTE: 12 of Karnataka's 31 districts are populated here (the largest population / e-waste generating districts) -- see the C5 and J5 cell comments and the '8_Data_Sources_Notes' sheet for full methodology and sources. STATE TOTAL below reflects only these 12 districts, not all 31.</t>
  </si>
  <si>
    <t>District</t>
  </si>
  <si>
    <t>Population</t>
  </si>
  <si>
    <t>IT &amp; Telecom (kg)</t>
  </si>
  <si>
    <t>Consumer Electrical &amp; Electronics (kg)</t>
  </si>
  <si>
    <t>Large &amp; Small Equipment (kg)</t>
  </si>
  <si>
    <t>Lighting Equipment (kg)</t>
  </si>
  <si>
    <t>Batteries (kg)</t>
  </si>
  <si>
    <t>Other (kg)</t>
  </si>
  <si>
    <t>Total Generated (kg)</t>
  </si>
  <si>
    <t>Date Last Updated</t>
  </si>
  <si>
    <t>Bengaluru Urban</t>
  </si>
  <si>
    <t>15-06-2026</t>
  </si>
  <si>
    <t>Belagavi</t>
  </si>
  <si>
    <t>Mysuru</t>
  </si>
  <si>
    <t>Tumakuru</t>
  </si>
  <si>
    <t>Ballari</t>
  </si>
  <si>
    <t>Kalaburagi</t>
  </si>
  <si>
    <t>Dakshina Kannada</t>
  </si>
  <si>
    <t>Dharwad</t>
  </si>
  <si>
    <t>Mandya</t>
  </si>
  <si>
    <t>Kolar</t>
  </si>
  <si>
    <t>Bengaluru Rural</t>
  </si>
  <si>
    <t>Ramanagara</t>
  </si>
  <si>
    <t>STATE TOTAL</t>
  </si>
  <si>
    <t>Collection Log</t>
  </si>
  <si>
    <t>One row per district. 'Generated' auto-pulls from Sheet 1 by district name - keep district names identical across sheets. Collected/EPR figures below are estimates documented in the column-header comments and the '8_Data_Sources_Notes' sheet -- replace with KSPCB collection-centre and EPR-portal records when available.</t>
  </si>
  <si>
    <t>Generated (kg) [from Sheet 1]</t>
  </si>
  <si>
    <t>Collected (kg)</t>
  </si>
  <si>
    <t>Registered Collection Centers</t>
  </si>
  <si>
    <t>EPR Collection Target (kg)</t>
  </si>
  <si>
    <t>EPR Collection Achieved (kg)</t>
  </si>
  <si>
    <t>Remarks</t>
  </si>
  <si>
    <t>Collection via registered centers + PRO take-back (estimated); EPR target per E-Waste (Mgmt) Rules 2022 Schedule III @60% for FY2024-25 (illustrative achievement).</t>
  </si>
  <si>
    <t>Recycling Infrastructure</t>
  </si>
  <si>
    <t>One row per CPCB/SPCB-authorized recycler or dismantler operating in the state. Company names and locations are real, drawn from published CPCB/SPCB authorization lists (see '8_Data_Sources_Notes'). Karnataka had 57 registered recyclers in FY2024-25 per CPCB/PIB data -- only a representative subset is listed here; capacity/throughput/recovery-rate cells are estimates where a public figure could not be found (see column comments).</t>
  </si>
  <si>
    <t>Recycler / Dismantler Name</t>
  </si>
  <si>
    <t>CPCB/SPCB Authorization No.</t>
  </si>
  <si>
    <t>Installed Capacity (tonnes/yr)</t>
  </si>
  <si>
    <t>Quantity Processed This Year (tonnes)</t>
  </si>
  <si>
    <t>Material Recovery Rate (%)</t>
  </si>
  <si>
    <t>Authorization Valid Till</t>
  </si>
  <si>
    <t>Cerebra Integrated Technologies Ltd.</t>
  </si>
  <si>
    <t>Not publicly disclosed</t>
  </si>
  <si>
    <t>E-Parisaraa Pvt. Ltd.</t>
  </si>
  <si>
    <t>Attero Recycling Pvt. Ltd. (new Bengaluru plant)</t>
  </si>
  <si>
    <t>Trishyiraya Recycling India Pvt. Ltd.</t>
  </si>
  <si>
    <t>Ramky E-waste Recycling Facility</t>
  </si>
  <si>
    <t>Ash Recyclers</t>
  </si>
  <si>
    <t>E-Ward &amp; Co.</t>
  </si>
  <si>
    <t>Eco-Ewaste Recyclers India Pvt. Ltd.</t>
  </si>
  <si>
    <t>K.G. Nandini Enterprises</t>
  </si>
  <si>
    <t>Cerebra Integrated Technologies Ltd. (Peenya EMS unit)</t>
  </si>
  <si>
    <t>Compliance Tracker</t>
  </si>
  <si>
    <t>One row per registered producer / EPR entity operating in the state. Individual producer/PRO compliance, inspection and penalty status is not published by CPCB/KSPCB in a form that could be verified here, so entity names below are GENERIC PLACEHOLDERS (not real companies) illustrating the categories of registrants typically active in Karnataka -- see the '8_Data_Sources_Notes' sheet. Replace every row with actual EPR-portal registrant names and status from KSPCB inspection records before using this sheet for real reporting.</t>
  </si>
  <si>
    <t>Producer / EPR Entity</t>
  </si>
  <si>
    <t>EPR Registration No.</t>
  </si>
  <si>
    <t>Compliance Status</t>
  </si>
  <si>
    <t>Inspection Planned (Y/N)</t>
  </si>
  <si>
    <t>Inspection Conducted (Y/N)</t>
  </si>
  <si>
    <t>Penalty / Show-Cause Issued (Y/N)</t>
  </si>
  <si>
    <t>Penalty Resolved (Y/N)</t>
  </si>
  <si>
    <t>Producer Entity 1 - IT &amp; Telecom OEM</t>
  </si>
  <si>
    <t>Compliant</t>
  </si>
  <si>
    <t>Yes</t>
  </si>
  <si>
    <t>No</t>
  </si>
  <si>
    <t>N/A</t>
  </si>
  <si>
    <t>[ILLUSTRATIVE - replace with verified KSPCB/CPCB record]</t>
  </si>
  <si>
    <t>Producer Entity 2 - Consumer Electronics Brand</t>
  </si>
  <si>
    <t>Producer Entity 3 - Large Appliance (White Goods) Manufacturer</t>
  </si>
  <si>
    <t>Producer Entity 4 - Lighting Equipment Producer</t>
  </si>
  <si>
    <t>Non-Compliant</t>
  </si>
  <si>
    <t>Producer Entity 5 - Battery Producer</t>
  </si>
  <si>
    <t>Producer Entity 6 - IT &amp; Telecom OEM (2)</t>
  </si>
  <si>
    <t>Producer Entity 7 - Producer Responsibility Organisation (PRO)</t>
  </si>
  <si>
    <t>Producer Entity 8 - Consumer Electronics Brand (2)</t>
  </si>
  <si>
    <t>Total Registered</t>
  </si>
  <si>
    <t>Inspections Planned</t>
  </si>
  <si>
    <t>Inspections Conducted</t>
  </si>
  <si>
    <t>Penalties Issued</t>
  </si>
  <si>
    <t>Penalties Resolved</t>
  </si>
  <si>
    <t>Informal Sector Hotspots</t>
  </si>
  <si>
    <t>One row per known informal e-waste recycling hotspot/cluster in the state. Cluster names reference real industrial/commercial areas in Karnataka known (from CPCB/SPCB authorization lists and general e-waste literature) to host e-waste recycling activity, but the specific status, worker counts and formalization actions below are ILLUSTRATIVE -- no public, verifiable per-hotspot survey data was found. Replace with KSPCB / urban local body hotspot survey data. See '8_Data_Sources_Notes'.</t>
  </si>
  <si>
    <t>Hotspot / Informal Cluster Name</t>
  </si>
  <si>
    <t>Status</t>
  </si>
  <si>
    <t>Estimated Informal Workers</t>
  </si>
  <si>
    <t>Workers Registered / Trained</t>
  </si>
  <si>
    <t>Formalization Action Taken</t>
  </si>
  <si>
    <t>Nayandahalli-Mysore Road e-waste corridor</t>
  </si>
  <si>
    <t>Partially Formalized</t>
  </si>
  <si>
    <t>Several units in this corridor are KSPCB-authorized dismantlers; informal repair/dismantling activity is reported to continue alongside them (illustrative estimate).</t>
  </si>
  <si>
    <t>Peenya Industrial Area periphery</t>
  </si>
  <si>
    <t>Under Assessment</t>
  </si>
  <si>
    <t>Survey of informal units in the industrial periphery initiated (illustrative).</t>
  </si>
  <si>
    <t>Bommanahalli-Electronic City informal scrap corridor</t>
  </si>
  <si>
    <t>Skill-training and registration drive for scrap workers (illustrative).</t>
  </si>
  <si>
    <t>Narasapura-Kolar industrial belt periphery</t>
  </si>
  <si>
    <t>Located near a large-scale authorized recycling facility; informal-sector presence not yet fully mapped (illustrative).</t>
  </si>
  <si>
    <t>Dobaspet-Nelamangala corridor</t>
  </si>
  <si>
    <t>Corridor also hosts multiple KSPCB-authorized recyclers (illustrative).</t>
  </si>
  <si>
    <t>K.R. Market scrap trading cluster</t>
  </si>
  <si>
    <t>Not Formalized</t>
  </si>
  <si>
    <t>Legacy scrap/second-hand electronics trading cluster; formalization action not yet initiated (illustrative).</t>
  </si>
  <si>
    <t>Total Hotspots</t>
  </si>
  <si>
    <t>Formalized/Remediated</t>
  </si>
  <si>
    <t>Estimated Workers (Total)</t>
  </si>
  <si>
    <t>Workers Registered/Trained (Total)</t>
  </si>
  <si>
    <t>Env Health Monitoring</t>
  </si>
  <si>
    <t>One row per environmental monitoring visit or health camp conducted at a hotspot. Sites mirror the '5_Informal_Sector_Hotspots' sheet; dates, results and beneficiary counts are ILLUSTRATIVE (no public, verifiable KSPCB monitoring log for these sites was found) -- replace with actual KSPCB monitoring and health-camp records. See '8_Data_Sources_Notes'. NOTE: elevated lead/cadmium readings near informal e-waste recycling are a well-documented pattern in independent studies of Indian e-waste clusters generally, even where site-specific Karnataka data is not public.</t>
  </si>
  <si>
    <t>Site / Hotspot Monitored</t>
  </si>
  <si>
    <t>Monitoring Type</t>
  </si>
  <si>
    <t>Date</t>
  </si>
  <si>
    <t>Result</t>
  </si>
  <si>
    <t>Health Camp Conducted (Y/N)</t>
  </si>
  <si>
    <t>Beneficiaries Screened</t>
  </si>
  <si>
    <t>Soil + Water</t>
  </si>
  <si>
    <t>12-02-2026</t>
  </si>
  <si>
    <t>Exceeds Limit (Pb)</t>
  </si>
  <si>
    <t>Air</t>
  </si>
  <si>
    <t>20-02-2026</t>
  </si>
  <si>
    <t>Within Limits</t>
  </si>
  <si>
    <t>Soil</t>
  </si>
  <si>
    <t>05-03-2026</t>
  </si>
  <si>
    <t>Exceeds Limit (Pb, Cd)</t>
  </si>
  <si>
    <t>Water</t>
  </si>
  <si>
    <t>18-03-2026</t>
  </si>
  <si>
    <t>02-04-2026</t>
  </si>
  <si>
    <t>Air + Soil</t>
  </si>
  <si>
    <t>22-04-2026</t>
  </si>
  <si>
    <t>Exceeds Limit (heavy metals)</t>
  </si>
  <si>
    <t>Distinct Sites Monitored</t>
  </si>
  <si>
    <t>Health Camps Conducted</t>
  </si>
  <si>
    <t>Total Beneficiaries Screened</t>
  </si>
  <si>
    <t>Awareness Programs</t>
  </si>
  <si>
    <t>One row per awareness campaign, take-back scheme promotion, or collection drive conducted. Programme names reference the TYPES of organisations that typically run such activity in Karnataka (KSPCB, BBMP/RWAs, PROs, NGOs, corporate CSR/recyclers) -- specific 2025/26 dates and participant counts are ILLUSTRATIVE, as a public, dated log of individual campaigns was not found. Replace with the state's own campaign log. See '8_Data_Sources_Notes'.
NOTE: this sheet's 'Collection Drives (School+RWA)' total (row 29) counts values in the DATE column (D), not the TYPE column (E) -- this looks like a formula bug inherited from the original template; the underlying formula was left untouched per the instruction to preserve existing formulas, but you may want to fix it to =COUNTIF(E6:E26,"School Collection Drive")+COUNTIF(E6:E26,"RWA/Community Drive").</t>
  </si>
  <si>
    <t>Program Name</t>
  </si>
  <si>
    <t>Type</t>
  </si>
  <si>
    <t>Target Audience</t>
  </si>
  <si>
    <t>Participants Reached</t>
  </si>
  <si>
    <t>E-Waste Awareness Drive - Schools (KSPCB)</t>
  </si>
  <si>
    <t>05-01-2026</t>
  </si>
  <si>
    <t>School Collection Drive</t>
  </si>
  <si>
    <t>Students, Grades 6-10</t>
  </si>
  <si>
    <t>Community E-Waste Collection Drive (BBMP/RWA)</t>
  </si>
  <si>
    <t>18-01-2026</t>
  </si>
  <si>
    <t>RWA/Community Drive</t>
  </si>
  <si>
    <t>Residents / Apartment complexes</t>
  </si>
  <si>
    <t>EPR Producer Take-Back Awareness Workshop (Karo Sambhav-style PRO)</t>
  </si>
  <si>
    <t>10-02-2026</t>
  </si>
  <si>
    <t>Producer/PRO Workshop</t>
  </si>
  <si>
    <t>Bulk consumers, IT companies</t>
  </si>
  <si>
    <t>Cerebra Green Clean-Up Week</t>
  </si>
  <si>
    <t>22-02-2026</t>
  </si>
  <si>
    <t>Collection Drive</t>
  </si>
  <si>
    <t>General public, corporates</t>
  </si>
  <si>
    <t>E-Waste Awareness Campaign - Mysuru</t>
  </si>
  <si>
    <t>08-03-2026</t>
  </si>
  <si>
    <t>Public Awareness Campaign</t>
  </si>
  <si>
    <t>General public</t>
  </si>
  <si>
    <t>Zero-Waste E-Waste Segregation Drive (Saahas-style NGO)</t>
  </si>
  <si>
    <t>20-03-2026</t>
  </si>
  <si>
    <t>Households, offices</t>
  </si>
  <si>
    <t>College E-Waste Awareness Talk</t>
  </si>
  <si>
    <t>College students</t>
  </si>
  <si>
    <t>EPR &amp; E-Waste Rules Compliance Seminar</t>
  </si>
  <si>
    <t>15-04-2026</t>
  </si>
  <si>
    <t>Local producers, dealers</t>
  </si>
  <si>
    <t>Total Programs Conducted</t>
  </si>
  <si>
    <t>Collection Drives (School+RWA)</t>
  </si>
  <si>
    <t>Total Participants Reached</t>
  </si>
  <si>
    <t>Data Sources, Methodology &amp; Honest Limitations - Karnataka E-Waste Tracker (2025 data)</t>
  </si>
  <si>
    <t>This tracker was filled in by Claude (Anthropic) using published, cited sources wherever possible, and clearly-flagged illustrative placeholders where per-district / per-entity administrative data is not public. It is a starting draft, not an official KSPCB-certified scorecard. Before using it for any real reporting or decision-making, please verify and replace the flagged rows with actual Karnataka State Pollution Control Board (KSPCB) / CPCB records.</t>
  </si>
  <si>
    <t>Sheet</t>
  </si>
  <si>
    <t>What is REAL / sourced</t>
  </si>
  <si>
    <t>What is ESTIMATED (documented method)</t>
  </si>
  <si>
    <t>What is ILLUSTRATIVE (not verified - replace)</t>
  </si>
  <si>
    <t>1_Generation_Inventory</t>
  </si>
  <si>
    <t>District names and 2011 Census populations for 12 major Karnataka districts (Census of India 2011). National e-waste generation FY2024-25 = 13,97,955.59 MT and Karnataka's FY2023-24/2024-25 registered-recycler count (41 -&gt; 57) and processed tonnage (20,910.6 -&gt; 16,151.8 MT) - PIB press release / Rajya Sabha reply, 24-Jul-2025 (cpcb data).</t>
  </si>
  <si>
    <t>2025 district population = 2011 Census population scaled by state growth factor (2025 state population ~6.86 crore, per Technical Group on Population Projections, MoHFW/NITI Aayog / statisticstimes.com). District total generation = population x 0.97 kg/capita/yr (national generation / national population). Category-wise split (IT&amp;Telecom/Consumer/Large&amp;Small/Lighting/Batteries/Other) uses an indicative WEEE composition assumption.</t>
  </si>
  <si>
    <t>Only 12 of Karnataka's 31 districts are included (the largest); state total reflects only these 12.</t>
  </si>
  <si>
    <t>2_Collection_Log</t>
  </si>
  <si>
    <t>Generated (kg) links live to Sheet 1. EPR collection target basis (60% for FY2023-24/24-25) - Schedule III, E-Waste (Management) Rules, 2022.</t>
  </si>
  <si>
    <t>Collected (kg) = 65% of generated; EPR Achieved = 55% of generated (~92% of target); Registered Collection Centres = ~1 per 4 lakh population. All are stated planning assumptions, not measured figures.</t>
  </si>
  <si>
    <t>None beyond the estimates already flagged.</t>
  </si>
  <si>
    <t>3_Recycling_Infrastructure</t>
  </si>
  <si>
    <t>Company names, districts and CPCB/SPCB-authorization status are real, drawn from a CPCB-sourced Karnataka authorized e-waste recycler/dismantler list (hosted at dste.py.gov.in) and company disclosures (Cerebra ~96,000 MTPA at Narasapura, Kolar; E-Parisaraa ~15,000 MTPA at Dobaspet; Attero's new Bengaluru plant 25,000 MTPA announced Dec-2025).</t>
  </si>
  <si>
    <t>'Quantity processed this year' is modelled by splitting Karnataka's verified FY2024-25 total (16,151.8 t, PIB/CPCB) across recyclers with known capacity.</t>
  </si>
  <si>
    <t>Material recovery rates and processed quantities for recyclers without a public capacity figure; authorization numbers and validity dates (shown as 'Not publicly disclosed').</t>
  </si>
  <si>
    <t>4_Compliance_Tracker</t>
  </si>
  <si>
    <t>General EPR/compliance framework (registration, inspections, environmental compensation) per the E-Waste (Management) Rules, 2022.</t>
  </si>
  <si>
    <t>-</t>
  </si>
  <si>
    <t>ALL rows. Entity names are generic placeholders (e.g. 'Producer Entity 1 - IT &amp; Telecom OEM'), not real companies - individual producer/PRO compliance, inspection and penalty status for Karnataka is not published anywhere Claude could verify. Replace entirely with KSPCB/CPCB EPR-portal registrant data.</t>
  </si>
  <si>
    <t>5_Informal_Sector_Hotspots</t>
  </si>
  <si>
    <t>Area/corridor names (Nayandahalli-Mysore Road, Peenya, Bommanahalli-Electronic City, Narasapura-Kolar, Dobaspet-Nelamangala, K.R. Market) are real Bengaluru-area industrial/commercial corridors known to host e-waste recycling activity (per the CPCB authorization list and general e-waste literature).</t>
  </si>
  <si>
    <t>ALL status/worker-count/action fields. No public, verifiable per-hotspot survey exists for Karnataka; these are illustrative placeholders. Replace with KSPCB / urban local body hotspot survey data.</t>
  </si>
  <si>
    <t>6_Env_Health_Monitoring</t>
  </si>
  <si>
    <t>General pattern that informal e-waste recycling is associated with elevated lead/cadmium in soil and health effects on workers is well documented in independent studies of Indian e-waste clusters generally.</t>
  </si>
  <si>
    <t>ALL rows (dates, specific results, health-camp attendance) - illustrative, mirroring the Sheet 5 hotspots. Replace with actual KSPCB monitoring and health-camp records.</t>
  </si>
  <si>
    <t>7_Awareness_Programs</t>
  </si>
  <si>
    <t>Types of organisations that run e-waste awareness activity in Karnataka (KSPCB, BBMP/RWAs, PROs, NGOs, corporate recyclers) are real; Cerebra Green has run public clean-up-week style campaigns in the past.</t>
  </si>
  <si>
    <t>ALL specific programme names/dates/attendance figures - illustrative; no dated public log of individual 2025/26 campaigns was found. Replace with the state's own campaign log.</t>
  </si>
  <si>
    <t>0_Scorecard</t>
  </si>
  <si>
    <t>Formulas and weights are unchanged from the original template you uploaded.</t>
  </si>
  <si>
    <t>Because Sheets 4-7 are largely illustrative, the computed state score partly reflects placeholder data - treat the current total as a DEMONSTRATION of how the tool works, not a real assessment of Karnataka's e-waste performance, until Sheets 4-7 are replaced with verified KSPCB data.</t>
  </si>
  <si>
    <t>Key sources (full list)</t>
  </si>
  <si>
    <t>- CPCB/PIB - 'Parliament Question: E-waste processing management', Rajya Sabha reply dated 24-Jul-2025 (national &amp; state-wise generation, registered-recycler counts, processed tonnage FY2023-24 &amp; FY2024-25): https://www.pib.gov.in/PressReleasePage.aspx?PRID=2147876</t>
  </si>
  <si>
    <t>- E-Waste (Management) Rules, 2022 - EPR collection targets (Schedule III): 60% for FY2023-24 &amp; FY2024-25, 70% for FY2025-26 &amp; FY2026-27, 80% from FY2027-28.</t>
  </si>
  <si>
    <t>- Census of India 2011 - district population figures (Bengaluru Urban, Belagavi and other districts).</t>
  </si>
  <si>
    <t>- Population Projections for Indian States 2011-2036 (Technical Group on Population Projections, MoHFW, Government of India), as cited via NITI Aayog's 'Macro and Fiscal Landscape of the State of Karnataka' and statisticstimes.com - used for the ~6.86 crore Karnataka 2025 population estimate.</t>
  </si>
  <si>
    <t>- List of CPCB/SPCB-authorized e-waste recyclers &amp; dismantlers in Karnataka (hosted at https://dste.py.gov.in/ppcc/pdf/Authorization/E-Waste-Recycler.pdf) - real company names &amp; locations used in Sheet 3.</t>
  </si>
  <si>
    <t>- Cerebra Integrated Technologies Ltd. - company disclosures on its Narasapura (Kolar) e-waste recycling facility capacity (~96,000-97,000 MTPA).</t>
  </si>
  <si>
    <t>- E-Parisaraa Pvt. Ltd. - company profile (India's first authorized e-waste recycler, Dobaspet) and third-party capacity estimate (~15,000 MTPA).</t>
  </si>
  <si>
    <t>- Attero - press coverage of its December 2025 national capacity-expansion announcement, including a new 25,000 MTPA e-waste plant in Bengaluru.</t>
  </si>
  <si>
    <t>- Karnataka State Pollution Control Board (KSPCB) - general e-waste management remit (methodology page): https://kspcb.karnataka.gov.in/waste-management/e-waste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</si>
</sst>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404040"/>
      <name val="Arial"/>
      <charset val="1"/>
    </font>
    <font>
      <b/>
      <sz val="12"/>
      <color rgb="FFFFFFFF"/>
      <name val="Arial"/>
      <charset val="1"/>
    </font>
    <font>
      <b/>
      <sz val="28"/>
      <color rgb="FF1F4E78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1F4E78"/>
      <name val="Arial"/>
      <charset val="1"/>
    </font>
    <font>
      <sz val="10"/>
      <name val="Arial"/>
      <charset val="1"/>
    </font>
    <font>
      <i/>
      <sz val="10"/>
      <color rgb="FF808080"/>
      <name val="Arial"/>
      <charset val="1"/>
    </font>
    <font>
      <sz val="10"/>
      <name val="Arial"/>
      <family val="2"/>
    </font>
    <font>
      <i/>
      <sz val="10"/>
      <name val="Arial"/>
      <charset val="1"/>
    </font>
    <font>
      <b/>
      <sz val="1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DEBF7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DDEBF7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9" fillId="0" borderId="0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" fillId="2" borderId="0" xfId="0" applyFont="1" applyFill="1" applyBorder="1" applyAlignment="1"/>
    <xf numFmtId="0" fontId="2" fillId="0" borderId="0" xfId="0" applyFont="1" applyBorder="1" applyAlignment="1">
      <alignment wrapText="1"/>
    </xf>
    <xf numFmtId="0" fontId="9" fillId="0" borderId="0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164" fontId="4" fillId="3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0" borderId="0" xfId="0" applyFont="1" applyBorder="1" applyAlignment="1"/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0" fillId="5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3" borderId="1" xfId="0" applyFill="1" applyBorder="1" applyAlignment="1"/>
    <xf numFmtId="0" fontId="7" fillId="3" borderId="1" xfId="0" applyFont="1" applyFill="1" applyBorder="1" applyAlignment="1"/>
    <xf numFmtId="0" fontId="8" fillId="0" borderId="0" xfId="0" applyFont="1" applyAlignment="1"/>
    <xf numFmtId="0" fontId="9" fillId="0" borderId="0" xfId="0" applyFont="1" applyAlignment="1"/>
    <xf numFmtId="0" fontId="7" fillId="0" borderId="1" xfId="0" applyFont="1" applyBorder="1" applyAlignment="1"/>
    <xf numFmtId="0" fontId="9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/>
    <xf numFmtId="0" fontId="7" fillId="8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1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 /><Relationship Id="rId1" Type="http://schemas.openxmlformats.org/officeDocument/2006/relationships/vmlDrawing" Target="../drawings/vmlDrawing2.v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 /><Relationship Id="rId1" Type="http://schemas.openxmlformats.org/officeDocument/2006/relationships/vmlDrawing" Target="../drawings/vmlDrawing3.vml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 /><Relationship Id="rId1" Type="http://schemas.openxmlformats.org/officeDocument/2006/relationships/vmlDrawing" Target="../drawings/vmlDrawing4.vml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 /><Relationship Id="rId1" Type="http://schemas.openxmlformats.org/officeDocument/2006/relationships/vmlDrawing" Target="../drawings/vmlDrawing5.vml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 /><Relationship Id="rId1" Type="http://schemas.openxmlformats.org/officeDocument/2006/relationships/vmlDrawing" Target="../drawings/vmlDrawing6.vml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 /><Relationship Id="rId1" Type="http://schemas.openxmlformats.org/officeDocument/2006/relationships/vmlDrawing" Target="../drawings/vmlDrawing7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3"/>
  <sheetViews>
    <sheetView showGridLines="0" topLeftCell="F1" zoomScaleNormal="100" workbookViewId="0"/>
  </sheetViews>
  <sheetFormatPr defaultColWidth="8.7421875" defaultRowHeight="15" x14ac:dyDescent="0.2"/>
  <cols>
    <col min="1" max="1" width="2.95703125" style="13" customWidth="1"/>
    <col min="2" max="2" width="6.05078125" style="13" customWidth="1"/>
    <col min="3" max="3" width="29.99609375" style="13" customWidth="1"/>
    <col min="4" max="4" width="9.953125" style="13" customWidth="1"/>
    <col min="5" max="6" width="16.0078125" style="13" customWidth="1"/>
    <col min="7" max="7" width="13.98828125" style="13" customWidth="1"/>
    <col min="8" max="8" width="13.046875" style="13" customWidth="1"/>
    <col min="9" max="9" width="9.953125" style="13" customWidth="1"/>
  </cols>
  <sheetData>
    <row r="2" spans="1:9" ht="25.5" customHeight="1" x14ac:dyDescent="0.2">
      <c r="A2" s="12" t="s">
        <v>0</v>
      </c>
      <c r="B2" s="12"/>
      <c r="C2" s="12"/>
      <c r="D2" s="12"/>
      <c r="E2" s="12"/>
      <c r="F2" s="12"/>
      <c r="G2" s="12"/>
      <c r="H2" s="12"/>
    </row>
    <row r="3" spans="1:9" ht="15" customHeight="1" x14ac:dyDescent="0.2">
      <c r="B3" s="11" t="s">
        <v>1</v>
      </c>
      <c r="C3" s="11"/>
      <c r="D3" s="11"/>
      <c r="E3" s="11"/>
      <c r="F3" s="11"/>
      <c r="G3" s="11"/>
      <c r="H3" s="11"/>
      <c r="I3" s="11"/>
    </row>
    <row r="5" spans="1:9" ht="15" customHeight="1" x14ac:dyDescent="0.2">
      <c r="B5" s="10" t="s">
        <v>2</v>
      </c>
      <c r="C5" s="10"/>
      <c r="D5" s="9">
        <f>ROUND(H17,1)</f>
        <v>57.3</v>
      </c>
      <c r="E5" s="9"/>
      <c r="F5" s="8" t="str">
        <f>_xlfn.IFS(H17&gt;=85,"EXCELLENT",H17&gt;=65,"GOOD",H17&gt;=45,"NEEDS IMPROVEMENT",TRUE(),"CRITICAL")</f>
        <v>NEEDS IMPROVEMENT</v>
      </c>
      <c r="G5" s="8"/>
      <c r="H5" s="8"/>
      <c r="I5" s="8"/>
    </row>
    <row r="6" spans="1:9" ht="15" customHeight="1" x14ac:dyDescent="0.2">
      <c r="B6" s="10"/>
      <c r="C6" s="10"/>
      <c r="D6" s="9"/>
      <c r="E6" s="9"/>
      <c r="F6" s="8"/>
      <c r="G6" s="8"/>
      <c r="H6" s="8"/>
      <c r="I6" s="8"/>
    </row>
    <row r="7" spans="1:9" ht="15" customHeight="1" x14ac:dyDescent="0.2">
      <c r="B7" s="10"/>
      <c r="C7" s="10"/>
      <c r="D7" s="9"/>
      <c r="E7" s="9"/>
      <c r="F7" s="8"/>
      <c r="G7" s="8"/>
      <c r="H7" s="8"/>
      <c r="I7" s="8"/>
    </row>
    <row r="9" spans="1:9" ht="30" customHeight="1" x14ac:dyDescent="0.2">
      <c r="B9" s="14" t="s">
        <v>3</v>
      </c>
      <c r="C9" s="14" t="s">
        <v>4</v>
      </c>
      <c r="D9" s="14" t="s">
        <v>5</v>
      </c>
      <c r="E9" s="14" t="s">
        <v>6</v>
      </c>
      <c r="F9" s="14" t="s">
        <v>7</v>
      </c>
      <c r="G9" s="14" t="s">
        <v>8</v>
      </c>
      <c r="H9" s="14" t="s">
        <v>9</v>
      </c>
    </row>
    <row r="10" spans="1:9" ht="30" customHeight="1" x14ac:dyDescent="0.2">
      <c r="B10" s="15">
        <v>1</v>
      </c>
      <c r="C10" s="16" t="s">
        <v>10</v>
      </c>
      <c r="D10" s="15">
        <v>15</v>
      </c>
      <c r="E10" s="17">
        <v>5</v>
      </c>
      <c r="F10" s="15">
        <f>COUNTIF('1_Generation_Inventory'!C6:C25,"?*")</f>
        <v>0</v>
      </c>
      <c r="G10" s="18">
        <f>IFERROR(MIN(F10/E10,1),0)</f>
        <v>0</v>
      </c>
      <c r="H10" s="19">
        <f>ROUND(G10*D10,1)</f>
        <v>0</v>
      </c>
    </row>
    <row r="11" spans="1:9" ht="30" customHeight="1" x14ac:dyDescent="0.2">
      <c r="B11" s="15">
        <v>2</v>
      </c>
      <c r="C11" s="16" t="s">
        <v>11</v>
      </c>
      <c r="D11" s="15">
        <v>20</v>
      </c>
      <c r="E11" s="20">
        <v>1</v>
      </c>
      <c r="F11" s="18">
        <f>IFERROR('2_Collection_Log'!F27/'2_Collection_Log'!C27,0)</f>
        <v>0.6</v>
      </c>
      <c r="G11" s="18">
        <f>IFERROR(MIN(F11/E11,1),0)</f>
        <v>0.6</v>
      </c>
      <c r="H11" s="19">
        <f>ROUND(G11*D11,1)</f>
        <v>12</v>
      </c>
    </row>
    <row r="12" spans="1:9" ht="30" customHeight="1" x14ac:dyDescent="0.2">
      <c r="B12" s="15">
        <v>3</v>
      </c>
      <c r="C12" s="16" t="s">
        <v>12</v>
      </c>
      <c r="D12" s="15">
        <v>20</v>
      </c>
      <c r="E12" s="20">
        <v>1</v>
      </c>
      <c r="F12" s="18">
        <f>IFERROR(('3_Recycling_Infrastructure'!E28*1000)/'2_Collection_Log'!C27,0)</f>
        <v>3.6480400778106432</v>
      </c>
      <c r="G12" s="18">
        <f>IFERROR(MIN(F12/E12,1),0)</f>
        <v>1</v>
      </c>
      <c r="H12" s="19">
        <f>ROUND(G12*D12,1)</f>
        <v>20</v>
      </c>
    </row>
    <row r="13" spans="1:9" ht="30" customHeight="1" x14ac:dyDescent="0.2">
      <c r="B13" s="15">
        <v>4</v>
      </c>
      <c r="C13" s="16" t="s">
        <v>13</v>
      </c>
      <c r="D13" s="15">
        <v>15</v>
      </c>
      <c r="E13" s="20">
        <v>1</v>
      </c>
      <c r="F13" s="18">
        <f>IFERROR('4_Compliance_Tracker'!C28/'4_Compliance_Tracker'!C29,0)</f>
        <v>0.75</v>
      </c>
      <c r="G13" s="18">
        <f>IFERROR(MIN(F13/E13,1),0)</f>
        <v>0.75</v>
      </c>
      <c r="H13" s="19">
        <f>ROUND(G13*D13,1)</f>
        <v>11.3</v>
      </c>
    </row>
    <row r="14" spans="1:9" ht="30" customHeight="1" x14ac:dyDescent="0.2">
      <c r="B14" s="15">
        <v>5</v>
      </c>
      <c r="C14" s="16" t="s">
        <v>14</v>
      </c>
      <c r="D14" s="15">
        <v>10</v>
      </c>
      <c r="E14" s="20">
        <v>1</v>
      </c>
      <c r="F14" s="18">
        <f>IFERROR('5_Informal_Sector_Hotspots'!C29/'5_Informal_Sector_Hotspots'!C28,0)</f>
        <v>0</v>
      </c>
      <c r="G14" s="18">
        <f>IFERROR(MIN(F14/E14,1),0)</f>
        <v>0</v>
      </c>
      <c r="H14" s="19">
        <f>ROUND(G14*D14,1)</f>
        <v>0</v>
      </c>
    </row>
    <row r="15" spans="1:9" ht="30" customHeight="1" x14ac:dyDescent="0.2">
      <c r="B15" s="15">
        <v>6</v>
      </c>
      <c r="C15" s="16" t="s">
        <v>15</v>
      </c>
      <c r="D15" s="15">
        <v>10</v>
      </c>
      <c r="E15" s="20">
        <v>1</v>
      </c>
      <c r="F15" s="18">
        <f>IFERROR('6_Env_Health_Monitoring'!C28/'5_Informal_Sector_Hotspots'!C28,0)</f>
        <v>1</v>
      </c>
      <c r="G15" s="18">
        <f>IFERROR(MIN(F15/E15,1),0)</f>
        <v>1</v>
      </c>
      <c r="H15" s="19">
        <f>ROUND(G15*D15,1)</f>
        <v>10</v>
      </c>
    </row>
    <row r="16" spans="1:9" ht="30" customHeight="1" x14ac:dyDescent="0.2">
      <c r="B16" s="15">
        <v>7</v>
      </c>
      <c r="C16" s="16" t="s">
        <v>16</v>
      </c>
      <c r="D16" s="15">
        <v>10</v>
      </c>
      <c r="E16" s="17">
        <v>20</v>
      </c>
      <c r="F16" s="15">
        <f>'7_Awareness_Programs'!C28</f>
        <v>8</v>
      </c>
      <c r="G16" s="18">
        <f>IFERROR(MIN(F16/E16,1),0)</f>
        <v>0.4</v>
      </c>
      <c r="H16" s="19">
        <f>ROUND(G16*D16,1)</f>
        <v>4</v>
      </c>
    </row>
    <row r="17" spans="2:8" ht="15" customHeight="1" x14ac:dyDescent="0.2">
      <c r="B17" s="21"/>
      <c r="C17" s="22" t="s">
        <v>17</v>
      </c>
      <c r="D17" s="22">
        <f>SUM(D10:D16)</f>
        <v>100</v>
      </c>
      <c r="E17" s="21"/>
      <c r="F17" s="21"/>
      <c r="G17" s="21"/>
      <c r="H17" s="22">
        <f>SUM(H10:H16)</f>
        <v>57.3</v>
      </c>
    </row>
    <row r="19" spans="2:8" ht="15" customHeight="1" x14ac:dyDescent="0.2">
      <c r="B19" s="23" t="s">
        <v>18</v>
      </c>
    </row>
    <row r="20" spans="2:8" ht="15" customHeight="1" x14ac:dyDescent="0.2">
      <c r="B20" s="24" t="s">
        <v>19</v>
      </c>
      <c r="C20" s="24" t="s">
        <v>20</v>
      </c>
    </row>
    <row r="21" spans="2:8" ht="15" customHeight="1" x14ac:dyDescent="0.2">
      <c r="B21" s="24" t="s">
        <v>21</v>
      </c>
      <c r="C21" s="24" t="s">
        <v>22</v>
      </c>
    </row>
    <row r="22" spans="2:8" ht="15" customHeight="1" x14ac:dyDescent="0.2">
      <c r="B22" s="24" t="s">
        <v>23</v>
      </c>
      <c r="C22" s="24" t="s">
        <v>24</v>
      </c>
    </row>
    <row r="23" spans="2:8" ht="15" customHeight="1" x14ac:dyDescent="0.2">
      <c r="B23" s="24" t="s">
        <v>25</v>
      </c>
      <c r="C23" s="24" t="s">
        <v>26</v>
      </c>
    </row>
  </sheetData>
  <mergeCells count="5">
    <mergeCell ref="A2:H2"/>
    <mergeCell ref="B3:I3"/>
    <mergeCell ref="B5:C7"/>
    <mergeCell ref="D5:E7"/>
    <mergeCell ref="F5:I7"/>
  </mergeCells>
  <conditionalFormatting sqref="D5">
    <cfRule type="colorScale" priority="2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1"/>
  <sheetViews>
    <sheetView showGridLines="0" zoomScaleNormal="100" workbookViewId="0"/>
  </sheetViews>
  <sheetFormatPr defaultColWidth="8.7421875" defaultRowHeight="15" x14ac:dyDescent="0.2"/>
  <cols>
    <col min="1" max="1" width="2.95703125" style="13" customWidth="1"/>
    <col min="2" max="2" width="6.05078125" style="13" customWidth="1"/>
    <col min="3" max="3" width="25.9609375" style="13" customWidth="1"/>
    <col min="4" max="4" width="9.01171875" style="13" customWidth="1"/>
    <col min="5" max="8" width="16.0078125" style="13" customWidth="1"/>
  </cols>
  <sheetData>
    <row r="2" spans="1:8" ht="25.5" customHeight="1" x14ac:dyDescent="0.2">
      <c r="A2" s="12" t="s">
        <v>27</v>
      </c>
      <c r="B2" s="12"/>
      <c r="C2" s="12"/>
      <c r="D2" s="12"/>
      <c r="E2" s="12"/>
      <c r="F2" s="12"/>
      <c r="G2" s="12"/>
    </row>
    <row r="4" spans="1:8" ht="30" customHeight="1" x14ac:dyDescent="0.2">
      <c r="B4" s="7" t="s">
        <v>28</v>
      </c>
      <c r="C4" s="7"/>
      <c r="D4" s="7"/>
      <c r="E4" s="7"/>
      <c r="F4" s="7"/>
      <c r="G4" s="7"/>
      <c r="H4" s="7"/>
    </row>
    <row r="6" spans="1:8" ht="23.25" customHeight="1" x14ac:dyDescent="0.2">
      <c r="B6" s="14" t="s">
        <v>3</v>
      </c>
      <c r="C6" s="14" t="s">
        <v>4</v>
      </c>
      <c r="D6" s="14" t="s">
        <v>5</v>
      </c>
      <c r="E6" s="14" t="s">
        <v>29</v>
      </c>
    </row>
    <row r="7" spans="1:8" ht="30" customHeight="1" x14ac:dyDescent="0.2">
      <c r="B7" s="15">
        <v>1</v>
      </c>
      <c r="C7" s="25" t="s">
        <v>10</v>
      </c>
      <c r="D7" s="15">
        <v>15</v>
      </c>
      <c r="E7" s="6" t="s">
        <v>30</v>
      </c>
      <c r="F7" s="6"/>
      <c r="G7" s="6"/>
      <c r="H7" s="6"/>
    </row>
    <row r="8" spans="1:8" ht="30" customHeight="1" x14ac:dyDescent="0.2">
      <c r="B8" s="15">
        <v>2</v>
      </c>
      <c r="C8" s="25" t="s">
        <v>11</v>
      </c>
      <c r="D8" s="15">
        <v>20</v>
      </c>
      <c r="E8" s="6" t="s">
        <v>31</v>
      </c>
      <c r="F8" s="6"/>
      <c r="G8" s="6"/>
      <c r="H8" s="6"/>
    </row>
    <row r="9" spans="1:8" ht="30" customHeight="1" x14ac:dyDescent="0.2">
      <c r="B9" s="15">
        <v>3</v>
      </c>
      <c r="C9" s="25" t="s">
        <v>12</v>
      </c>
      <c r="D9" s="15">
        <v>20</v>
      </c>
      <c r="E9" s="6" t="s">
        <v>32</v>
      </c>
      <c r="F9" s="6"/>
      <c r="G9" s="6"/>
      <c r="H9" s="6"/>
    </row>
    <row r="10" spans="1:8" ht="30" customHeight="1" x14ac:dyDescent="0.2">
      <c r="B10" s="15">
        <v>4</v>
      </c>
      <c r="C10" s="25" t="s">
        <v>13</v>
      </c>
      <c r="D10" s="15">
        <v>15</v>
      </c>
      <c r="E10" s="6" t="s">
        <v>33</v>
      </c>
      <c r="F10" s="6"/>
      <c r="G10" s="6"/>
      <c r="H10" s="6"/>
    </row>
    <row r="11" spans="1:8" ht="30" customHeight="1" x14ac:dyDescent="0.2">
      <c r="B11" s="15">
        <v>5</v>
      </c>
      <c r="C11" s="25" t="s">
        <v>14</v>
      </c>
      <c r="D11" s="15">
        <v>10</v>
      </c>
      <c r="E11" s="6" t="s">
        <v>34</v>
      </c>
      <c r="F11" s="6"/>
      <c r="G11" s="6"/>
      <c r="H11" s="6"/>
    </row>
    <row r="12" spans="1:8" ht="30" customHeight="1" x14ac:dyDescent="0.2">
      <c r="B12" s="15">
        <v>6</v>
      </c>
      <c r="C12" s="25" t="s">
        <v>15</v>
      </c>
      <c r="D12" s="15">
        <v>10</v>
      </c>
      <c r="E12" s="6" t="s">
        <v>35</v>
      </c>
      <c r="F12" s="6"/>
      <c r="G12" s="6"/>
      <c r="H12" s="6"/>
    </row>
    <row r="13" spans="1:8" ht="30" customHeight="1" x14ac:dyDescent="0.2">
      <c r="B13" s="15">
        <v>7</v>
      </c>
      <c r="C13" s="25" t="s">
        <v>16</v>
      </c>
      <c r="D13" s="15">
        <v>10</v>
      </c>
      <c r="E13" s="6" t="s">
        <v>36</v>
      </c>
      <c r="F13" s="6"/>
      <c r="G13" s="6"/>
      <c r="H13" s="6"/>
    </row>
    <row r="14" spans="1:8" ht="15" customHeight="1" x14ac:dyDescent="0.2">
      <c r="B14" s="21"/>
      <c r="C14" s="22" t="s">
        <v>37</v>
      </c>
      <c r="D14" s="22">
        <v>100</v>
      </c>
      <c r="E14" s="21"/>
      <c r="F14" s="21"/>
      <c r="G14" s="21"/>
      <c r="H14" s="21"/>
    </row>
    <row r="16" spans="1:8" ht="15" customHeight="1" x14ac:dyDescent="0.2">
      <c r="B16" s="23" t="s">
        <v>38</v>
      </c>
    </row>
    <row r="17" spans="2:8" ht="25.5" customHeight="1" x14ac:dyDescent="0.2">
      <c r="B17" s="5" t="s">
        <v>39</v>
      </c>
      <c r="C17" s="5"/>
      <c r="D17" s="5"/>
      <c r="E17" s="5"/>
      <c r="F17" s="5"/>
      <c r="G17" s="5"/>
      <c r="H17" s="5"/>
    </row>
    <row r="18" spans="2:8" ht="25.5" customHeight="1" x14ac:dyDescent="0.2">
      <c r="B18" s="5" t="s">
        <v>40</v>
      </c>
      <c r="C18" s="5"/>
      <c r="D18" s="5"/>
      <c r="E18" s="5"/>
      <c r="F18" s="5"/>
      <c r="G18" s="5"/>
      <c r="H18" s="5"/>
    </row>
    <row r="19" spans="2:8" ht="25.5" customHeight="1" x14ac:dyDescent="0.2">
      <c r="B19" s="5" t="s">
        <v>41</v>
      </c>
      <c r="C19" s="5"/>
      <c r="D19" s="5"/>
      <c r="E19" s="5"/>
      <c r="F19" s="5"/>
      <c r="G19" s="5"/>
      <c r="H19" s="5"/>
    </row>
    <row r="20" spans="2:8" ht="25.5" customHeight="1" x14ac:dyDescent="0.2">
      <c r="B20" s="5" t="s">
        <v>42</v>
      </c>
      <c r="C20" s="5"/>
      <c r="D20" s="5"/>
      <c r="E20" s="5"/>
      <c r="F20" s="5"/>
      <c r="G20" s="5"/>
      <c r="H20" s="5"/>
    </row>
    <row r="21" spans="2:8" ht="25.5" customHeight="1" x14ac:dyDescent="0.2">
      <c r="B21" s="5" t="s">
        <v>43</v>
      </c>
      <c r="C21" s="5"/>
      <c r="D21" s="5"/>
      <c r="E21" s="5"/>
      <c r="F21" s="5"/>
      <c r="G21" s="5"/>
      <c r="H21" s="5"/>
    </row>
  </sheetData>
  <mergeCells count="14">
    <mergeCell ref="B18:H18"/>
    <mergeCell ref="B19:H19"/>
    <mergeCell ref="B20:H20"/>
    <mergeCell ref="B21:H21"/>
    <mergeCell ref="E10:H10"/>
    <mergeCell ref="E11:H11"/>
    <mergeCell ref="E12:H12"/>
    <mergeCell ref="E13:H13"/>
    <mergeCell ref="B17:H17"/>
    <mergeCell ref="A2:G2"/>
    <mergeCell ref="B4:H4"/>
    <mergeCell ref="E7:H7"/>
    <mergeCell ref="E8:H8"/>
    <mergeCell ref="E9:H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7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3" customWidth="1"/>
    <col min="2" max="2" width="16.0078125" style="13" customWidth="1"/>
    <col min="3" max="3" width="11.97265625" style="13" customWidth="1"/>
    <col min="4" max="4" width="16.0078125" style="13" customWidth="1"/>
    <col min="5" max="5" width="20.04296875" style="13" customWidth="1"/>
    <col min="6" max="6" width="18.0234375" style="13" customWidth="1"/>
    <col min="7" max="7" width="16.0078125" style="13" customWidth="1"/>
    <col min="8" max="8" width="13.98828125" style="13" customWidth="1"/>
    <col min="9" max="9" width="11.97265625" style="13" customWidth="1"/>
    <col min="10" max="10" width="14.9296875" style="13" customWidth="1"/>
    <col min="11" max="11" width="16.0078125" style="13" customWidth="1"/>
  </cols>
  <sheetData>
    <row r="2" spans="1:11" ht="25.5" customHeight="1" x14ac:dyDescent="0.2">
      <c r="A2" s="12" t="s">
        <v>44</v>
      </c>
      <c r="B2" s="12"/>
      <c r="C2" s="12"/>
      <c r="D2" s="12"/>
      <c r="E2" s="12"/>
      <c r="F2" s="12"/>
      <c r="G2" s="12"/>
      <c r="H2" s="12"/>
      <c r="I2" s="12"/>
      <c r="J2" s="12"/>
    </row>
    <row r="3" spans="1:11" ht="15" customHeight="1" x14ac:dyDescent="0.2">
      <c r="B3" s="11" t="s">
        <v>45</v>
      </c>
      <c r="C3" s="11"/>
      <c r="D3" s="11"/>
      <c r="E3" s="11"/>
      <c r="F3" s="11"/>
      <c r="G3" s="11"/>
      <c r="H3" s="11"/>
      <c r="I3" s="11"/>
      <c r="J3" s="11"/>
      <c r="K3" s="11"/>
    </row>
    <row r="5" spans="1:11" ht="31.5" customHeight="1" x14ac:dyDescent="0.2">
      <c r="B5" s="14" t="s">
        <v>46</v>
      </c>
      <c r="C5" s="14" t="s">
        <v>47</v>
      </c>
      <c r="D5" s="14" t="s">
        <v>48</v>
      </c>
      <c r="E5" s="14" t="s">
        <v>49</v>
      </c>
      <c r="F5" s="14" t="s">
        <v>50</v>
      </c>
      <c r="G5" s="14" t="s">
        <v>51</v>
      </c>
      <c r="H5" s="14" t="s">
        <v>52</v>
      </c>
      <c r="I5" s="14" t="s">
        <v>53</v>
      </c>
      <c r="J5" s="14" t="s">
        <v>54</v>
      </c>
      <c r="K5" s="14" t="s">
        <v>55</v>
      </c>
    </row>
    <row r="6" spans="1:11" ht="15" customHeight="1" x14ac:dyDescent="0.2">
      <c r="B6" s="26" t="s">
        <v>56</v>
      </c>
      <c r="C6" s="26">
        <v>10803000</v>
      </c>
      <c r="D6" s="26">
        <v>3143700</v>
      </c>
      <c r="E6" s="26">
        <v>2095800</v>
      </c>
      <c r="F6" s="26">
        <v>3667600</v>
      </c>
      <c r="G6" s="26">
        <v>314400</v>
      </c>
      <c r="H6" s="26">
        <v>838300</v>
      </c>
      <c r="I6" s="26">
        <v>419200</v>
      </c>
      <c r="J6" s="27">
        <f>SUM(D6:I6)</f>
        <v>10479000</v>
      </c>
      <c r="K6" s="26" t="s">
        <v>57</v>
      </c>
    </row>
    <row r="7" spans="1:11" ht="15" customHeight="1" x14ac:dyDescent="0.2">
      <c r="B7" s="26" t="s">
        <v>58</v>
      </c>
      <c r="C7" s="26">
        <v>5367000</v>
      </c>
      <c r="D7" s="26">
        <v>1561800</v>
      </c>
      <c r="E7" s="26">
        <v>1041200</v>
      </c>
      <c r="F7" s="26">
        <v>1822100</v>
      </c>
      <c r="G7" s="26">
        <v>156200</v>
      </c>
      <c r="H7" s="26">
        <v>416500</v>
      </c>
      <c r="I7" s="26">
        <v>208200</v>
      </c>
      <c r="J7" s="28">
        <f>IF(SUM(D7:I7)=0,"",SUM(D7:I7))</f>
        <v>5206000</v>
      </c>
      <c r="K7" s="26" t="s">
        <v>57</v>
      </c>
    </row>
    <row r="8" spans="1:11" ht="15" customHeight="1" x14ac:dyDescent="0.2">
      <c r="B8" s="26" t="s">
        <v>59</v>
      </c>
      <c r="C8" s="26">
        <v>3370000</v>
      </c>
      <c r="D8" s="26">
        <v>980700</v>
      </c>
      <c r="E8" s="26">
        <v>653800</v>
      </c>
      <c r="F8" s="26">
        <v>1144200</v>
      </c>
      <c r="G8" s="26">
        <v>98100</v>
      </c>
      <c r="H8" s="26">
        <v>261500</v>
      </c>
      <c r="I8" s="26">
        <v>130800</v>
      </c>
      <c r="J8" s="28">
        <f>IF(SUM(D8:I8)=0,"",SUM(D8:I8))</f>
        <v>3269100</v>
      </c>
      <c r="K8" s="26" t="s">
        <v>57</v>
      </c>
    </row>
    <row r="9" spans="1:11" ht="15" customHeight="1" x14ac:dyDescent="0.2">
      <c r="B9" s="26" t="s">
        <v>60</v>
      </c>
      <c r="C9" s="26">
        <v>3008000</v>
      </c>
      <c r="D9" s="26">
        <v>875400</v>
      </c>
      <c r="E9" s="26">
        <v>583600</v>
      </c>
      <c r="F9" s="26">
        <v>1021300</v>
      </c>
      <c r="G9" s="26">
        <v>87500</v>
      </c>
      <c r="H9" s="26">
        <v>233400</v>
      </c>
      <c r="I9" s="26">
        <v>116700</v>
      </c>
      <c r="J9" s="28">
        <f>IF(SUM(D9:I9)=0,"",SUM(D9:I9))</f>
        <v>2917900</v>
      </c>
      <c r="K9" s="26" t="s">
        <v>57</v>
      </c>
    </row>
    <row r="10" spans="1:11" ht="15" customHeight="1" x14ac:dyDescent="0.2">
      <c r="B10" s="26" t="s">
        <v>61</v>
      </c>
      <c r="C10" s="26">
        <v>2754000</v>
      </c>
      <c r="D10" s="26">
        <v>801300</v>
      </c>
      <c r="E10" s="26">
        <v>534200</v>
      </c>
      <c r="F10" s="26">
        <v>934800</v>
      </c>
      <c r="G10" s="26">
        <v>80100</v>
      </c>
      <c r="H10" s="26">
        <v>213700</v>
      </c>
      <c r="I10" s="26">
        <v>106800</v>
      </c>
      <c r="J10" s="28">
        <f>IF(SUM(D10:I10)=0,"",SUM(D10:I10))</f>
        <v>2670900</v>
      </c>
      <c r="K10" s="26" t="s">
        <v>57</v>
      </c>
    </row>
    <row r="11" spans="1:11" ht="15" customHeight="1" x14ac:dyDescent="0.2">
      <c r="B11" s="26" t="s">
        <v>62</v>
      </c>
      <c r="C11" s="26">
        <v>2882000</v>
      </c>
      <c r="D11" s="26">
        <v>838800</v>
      </c>
      <c r="E11" s="26">
        <v>559200</v>
      </c>
      <c r="F11" s="26">
        <v>978600</v>
      </c>
      <c r="G11" s="26">
        <v>83900</v>
      </c>
      <c r="H11" s="26">
        <v>223700</v>
      </c>
      <c r="I11" s="26">
        <v>111800</v>
      </c>
      <c r="J11" s="28">
        <f>IF(SUM(D11:I11)=0,"",SUM(D11:I11))</f>
        <v>2796000</v>
      </c>
      <c r="K11" s="26" t="s">
        <v>57</v>
      </c>
    </row>
    <row r="12" spans="1:11" ht="15" customHeight="1" x14ac:dyDescent="0.2">
      <c r="B12" s="26" t="s">
        <v>63</v>
      </c>
      <c r="C12" s="26">
        <v>2346000</v>
      </c>
      <c r="D12" s="26">
        <v>682800</v>
      </c>
      <c r="E12" s="26">
        <v>455200</v>
      </c>
      <c r="F12" s="26">
        <v>796600</v>
      </c>
      <c r="G12" s="26">
        <v>68300</v>
      </c>
      <c r="H12" s="26">
        <v>182100</v>
      </c>
      <c r="I12" s="26">
        <v>91000</v>
      </c>
      <c r="J12" s="28">
        <f>IF(SUM(D12:I12)=0,"",SUM(D12:I12))</f>
        <v>2276000</v>
      </c>
      <c r="K12" s="26" t="s">
        <v>57</v>
      </c>
    </row>
    <row r="13" spans="1:11" ht="15" customHeight="1" x14ac:dyDescent="0.2">
      <c r="B13" s="26" t="s">
        <v>64</v>
      </c>
      <c r="C13" s="26">
        <v>2074000</v>
      </c>
      <c r="D13" s="26">
        <v>603600</v>
      </c>
      <c r="E13" s="26">
        <v>402400</v>
      </c>
      <c r="F13" s="26">
        <v>704200</v>
      </c>
      <c r="G13" s="26">
        <v>60400</v>
      </c>
      <c r="H13" s="26">
        <v>161000</v>
      </c>
      <c r="I13" s="26">
        <v>80500</v>
      </c>
      <c r="J13" s="28">
        <f>IF(SUM(D13:I13)=0,"",SUM(D13:I13))</f>
        <v>2012100</v>
      </c>
      <c r="K13" s="26" t="s">
        <v>57</v>
      </c>
    </row>
    <row r="14" spans="1:11" ht="15" customHeight="1" x14ac:dyDescent="0.2">
      <c r="B14" s="26" t="s">
        <v>65</v>
      </c>
      <c r="C14" s="26">
        <v>2028000</v>
      </c>
      <c r="D14" s="26">
        <v>590100</v>
      </c>
      <c r="E14" s="26">
        <v>393400</v>
      </c>
      <c r="F14" s="26">
        <v>688400</v>
      </c>
      <c r="G14" s="26">
        <v>59000</v>
      </c>
      <c r="H14" s="26">
        <v>157400</v>
      </c>
      <c r="I14" s="26">
        <v>78700</v>
      </c>
      <c r="J14" s="28">
        <f>IF(SUM(D14:I14)=0,"",SUM(D14:I14))</f>
        <v>1967000</v>
      </c>
      <c r="K14" s="26" t="s">
        <v>57</v>
      </c>
    </row>
    <row r="15" spans="1:11" ht="15" customHeight="1" x14ac:dyDescent="0.2">
      <c r="B15" s="26" t="s">
        <v>66</v>
      </c>
      <c r="C15" s="26">
        <v>1725000</v>
      </c>
      <c r="D15" s="26">
        <v>501900</v>
      </c>
      <c r="E15" s="26">
        <v>334600</v>
      </c>
      <c r="F15" s="26">
        <v>585600</v>
      </c>
      <c r="G15" s="26">
        <v>50200</v>
      </c>
      <c r="H15" s="26">
        <v>133800</v>
      </c>
      <c r="I15" s="26">
        <v>66900</v>
      </c>
      <c r="J15" s="28">
        <f>IF(SUM(D15:I15)=0,"",SUM(D15:I15))</f>
        <v>1673000</v>
      </c>
      <c r="K15" s="26" t="s">
        <v>57</v>
      </c>
    </row>
    <row r="16" spans="1:11" ht="15" customHeight="1" x14ac:dyDescent="0.2">
      <c r="B16" s="26" t="s">
        <v>67</v>
      </c>
      <c r="C16" s="26">
        <v>1113000</v>
      </c>
      <c r="D16" s="26">
        <v>324000</v>
      </c>
      <c r="E16" s="26">
        <v>216000</v>
      </c>
      <c r="F16" s="26">
        <v>378000</v>
      </c>
      <c r="G16" s="26">
        <v>32400</v>
      </c>
      <c r="H16" s="26">
        <v>86400</v>
      </c>
      <c r="I16" s="26">
        <v>43200</v>
      </c>
      <c r="J16" s="28">
        <f>IF(SUM(D16:I16)=0,"",SUM(D16:I16))</f>
        <v>1080000</v>
      </c>
      <c r="K16" s="26" t="s">
        <v>57</v>
      </c>
    </row>
    <row r="17" spans="2:11" ht="15" customHeight="1" x14ac:dyDescent="0.2">
      <c r="B17" s="26" t="s">
        <v>68</v>
      </c>
      <c r="C17" s="26">
        <v>1216000</v>
      </c>
      <c r="D17" s="26">
        <v>354000</v>
      </c>
      <c r="E17" s="26">
        <v>236000</v>
      </c>
      <c r="F17" s="26">
        <v>413000</v>
      </c>
      <c r="G17" s="26">
        <v>35400</v>
      </c>
      <c r="H17" s="26">
        <v>94400</v>
      </c>
      <c r="I17" s="26">
        <v>47200</v>
      </c>
      <c r="J17" s="28">
        <f>IF(SUM(D17:I17)=0,"",SUM(D17:I17))</f>
        <v>1180000</v>
      </c>
      <c r="K17" s="26" t="s">
        <v>57</v>
      </c>
    </row>
    <row r="18" spans="2:11" ht="15" customHeight="1" x14ac:dyDescent="0.2">
      <c r="B18" s="26"/>
      <c r="C18" s="26"/>
      <c r="D18" s="26"/>
      <c r="E18" s="26"/>
      <c r="F18" s="26"/>
      <c r="G18" s="26"/>
      <c r="H18" s="26"/>
      <c r="I18" s="26"/>
      <c r="J18" s="28" t="str">
        <f>IF(SUM(D18:I18)=0,"",SUM(D18:I18))</f>
        <v/>
      </c>
      <c r="K18" s="26"/>
    </row>
    <row r="19" spans="2:11" ht="15" customHeight="1" x14ac:dyDescent="0.2">
      <c r="B19" s="26"/>
      <c r="C19" s="26"/>
      <c r="D19" s="26"/>
      <c r="E19" s="26"/>
      <c r="F19" s="26"/>
      <c r="G19" s="26"/>
      <c r="H19" s="26"/>
      <c r="I19" s="26"/>
      <c r="J19" s="28" t="str">
        <f>IF(SUM(D19:I19)=0,"",SUM(D19:I19))</f>
        <v/>
      </c>
      <c r="K19" s="26"/>
    </row>
    <row r="20" spans="2:11" ht="15" customHeight="1" x14ac:dyDescent="0.2">
      <c r="B20" s="26"/>
      <c r="C20" s="26"/>
      <c r="D20" s="26"/>
      <c r="E20" s="26"/>
      <c r="F20" s="26"/>
      <c r="G20" s="26"/>
      <c r="H20" s="26"/>
      <c r="I20" s="26"/>
      <c r="J20" s="28" t="str">
        <f>IF(SUM(D20:I20)=0,"",SUM(D20:I20))</f>
        <v/>
      </c>
      <c r="K20" s="26"/>
    </row>
    <row r="21" spans="2:11" ht="15" customHeight="1" x14ac:dyDescent="0.2">
      <c r="B21" s="26"/>
      <c r="C21" s="26"/>
      <c r="D21" s="26"/>
      <c r="E21" s="26"/>
      <c r="F21" s="26"/>
      <c r="G21" s="26"/>
      <c r="H21" s="26"/>
      <c r="I21" s="26"/>
      <c r="J21" s="28" t="str">
        <f>IF(SUM(D21:I21)=0,"",SUM(D21:I21))</f>
        <v/>
      </c>
      <c r="K21" s="26"/>
    </row>
    <row r="22" spans="2:11" ht="15" customHeight="1" x14ac:dyDescent="0.2">
      <c r="B22" s="26"/>
      <c r="C22" s="26"/>
      <c r="D22" s="26"/>
      <c r="E22" s="26"/>
      <c r="F22" s="26"/>
      <c r="G22" s="26"/>
      <c r="H22" s="26"/>
      <c r="I22" s="26"/>
      <c r="J22" s="28" t="str">
        <f>IF(SUM(D22:I22)=0,"",SUM(D22:I22))</f>
        <v/>
      </c>
      <c r="K22" s="26"/>
    </row>
    <row r="23" spans="2:11" ht="15" customHeight="1" x14ac:dyDescent="0.2">
      <c r="B23" s="26"/>
      <c r="C23" s="26"/>
      <c r="D23" s="26"/>
      <c r="E23" s="26"/>
      <c r="F23" s="26"/>
      <c r="G23" s="26"/>
      <c r="H23" s="26"/>
      <c r="I23" s="26"/>
      <c r="J23" s="28" t="str">
        <f>IF(SUM(D23:I23)=0,"",SUM(D23:I23))</f>
        <v/>
      </c>
      <c r="K23" s="26"/>
    </row>
    <row r="24" spans="2:11" ht="15" customHeight="1" x14ac:dyDescent="0.2">
      <c r="B24" s="26"/>
      <c r="C24" s="26"/>
      <c r="D24" s="26"/>
      <c r="E24" s="26"/>
      <c r="F24" s="26"/>
      <c r="G24" s="26"/>
      <c r="H24" s="26"/>
      <c r="I24" s="26"/>
      <c r="J24" s="28" t="str">
        <f>IF(SUM(D24:I24)=0,"",SUM(D24:I24))</f>
        <v/>
      </c>
      <c r="K24" s="26"/>
    </row>
    <row r="25" spans="2:11" ht="15" customHeight="1" x14ac:dyDescent="0.2">
      <c r="B25" s="26"/>
      <c r="C25" s="26"/>
      <c r="D25" s="26"/>
      <c r="E25" s="26"/>
      <c r="F25" s="26"/>
      <c r="G25" s="26"/>
      <c r="H25" s="26"/>
      <c r="I25" s="26"/>
      <c r="J25" s="28" t="str">
        <f>IF(SUM(D25:I25)=0,"",SUM(D25:I25))</f>
        <v/>
      </c>
      <c r="K25" s="26"/>
    </row>
    <row r="27" spans="2:11" ht="15" customHeight="1" x14ac:dyDescent="0.2">
      <c r="B27" s="22" t="s">
        <v>69</v>
      </c>
      <c r="C27" s="22">
        <f>SUM(C6:C25)</f>
        <v>38686000</v>
      </c>
      <c r="D27" s="22">
        <f>SUM(D6:D25)</f>
        <v>11258100</v>
      </c>
      <c r="E27" s="22">
        <f>SUM(E6:E25)</f>
        <v>7505400</v>
      </c>
      <c r="F27" s="22">
        <f>SUM(F6:F25)</f>
        <v>13134400</v>
      </c>
      <c r="G27" s="22">
        <f>SUM(G6:G25)</f>
        <v>1125900</v>
      </c>
      <c r="H27" s="22">
        <f>SUM(H6:H25)</f>
        <v>3002200</v>
      </c>
      <c r="I27" s="22">
        <f>SUM(I6:I25)</f>
        <v>1501000</v>
      </c>
      <c r="J27" s="22">
        <f>SUM(J6:J25)</f>
        <v>37527000</v>
      </c>
    </row>
  </sheetData>
  <mergeCells count="2">
    <mergeCell ref="A2:J2"/>
    <mergeCell ref="B3:K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7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3" customWidth="1"/>
    <col min="2" max="2" width="16.0078125" style="13" customWidth="1"/>
    <col min="3" max="3" width="20.04296875" style="13" customWidth="1"/>
    <col min="4" max="4" width="13.046875" style="13" customWidth="1"/>
    <col min="5" max="5" width="18.0234375" style="13" customWidth="1"/>
    <col min="6" max="6" width="16.0078125" style="13" customWidth="1"/>
    <col min="7" max="7" width="18.0234375" style="13" customWidth="1"/>
    <col min="8" max="8" width="29.99609375" style="13" customWidth="1"/>
  </cols>
  <sheetData>
    <row r="2" spans="1:8" ht="25.5" customHeight="1" x14ac:dyDescent="0.2">
      <c r="A2" s="12" t="s">
        <v>70</v>
      </c>
      <c r="B2" s="12"/>
      <c r="C2" s="12"/>
      <c r="D2" s="12"/>
      <c r="E2" s="12"/>
      <c r="F2" s="12"/>
      <c r="G2" s="12"/>
    </row>
    <row r="3" spans="1:8" ht="15" customHeight="1" x14ac:dyDescent="0.2">
      <c r="B3" s="11" t="s">
        <v>71</v>
      </c>
      <c r="C3" s="11"/>
      <c r="D3" s="11"/>
      <c r="E3" s="11"/>
      <c r="F3" s="11"/>
      <c r="G3" s="11"/>
      <c r="H3" s="11"/>
    </row>
    <row r="5" spans="1:8" ht="31.5" customHeight="1" x14ac:dyDescent="0.2">
      <c r="B5" s="14" t="s">
        <v>46</v>
      </c>
      <c r="C5" s="14" t="s">
        <v>72</v>
      </c>
      <c r="D5" s="14" t="s">
        <v>73</v>
      </c>
      <c r="E5" s="14" t="s">
        <v>74</v>
      </c>
      <c r="F5" s="14" t="s">
        <v>75</v>
      </c>
      <c r="G5" s="14" t="s">
        <v>76</v>
      </c>
      <c r="H5" s="14" t="s">
        <v>77</v>
      </c>
    </row>
    <row r="6" spans="1:8" ht="23.25" customHeight="1" x14ac:dyDescent="0.2">
      <c r="B6" s="26" t="s">
        <v>56</v>
      </c>
      <c r="C6" s="27">
        <f>IFERROR(INDEX('1_Generation_Inventory'!$J$6:$J$25,MATCH(B6,'1_Generation_Inventory'!$B$6:$B$25,0)),0)</f>
        <v>10479000</v>
      </c>
      <c r="D6" s="26">
        <v>6811400</v>
      </c>
      <c r="E6" s="26">
        <v>27</v>
      </c>
      <c r="F6" s="26">
        <v>6287400</v>
      </c>
      <c r="G6" s="26">
        <v>5763400</v>
      </c>
      <c r="H6" s="26" t="s">
        <v>78</v>
      </c>
    </row>
    <row r="7" spans="1:8" ht="15" customHeight="1" x14ac:dyDescent="0.2">
      <c r="B7" s="26" t="s">
        <v>58</v>
      </c>
      <c r="C7" s="28">
        <f>IFERROR(INDEX('1_Generation_Inventory'!$J$6:$J$25,MATCH(B7,'1_Generation_Inventory'!$B$6:$B$25,0)),"")</f>
        <v>5206000</v>
      </c>
      <c r="D7" s="26">
        <v>3383900</v>
      </c>
      <c r="E7" s="26">
        <v>13</v>
      </c>
      <c r="F7" s="26">
        <v>3123600</v>
      </c>
      <c r="G7" s="26">
        <v>2863300</v>
      </c>
      <c r="H7" s="26" t="s">
        <v>78</v>
      </c>
    </row>
    <row r="8" spans="1:8" ht="15" customHeight="1" x14ac:dyDescent="0.2">
      <c r="B8" s="26" t="s">
        <v>59</v>
      </c>
      <c r="C8" s="28">
        <f>IFERROR(INDEX('1_Generation_Inventory'!$J$6:$J$25,MATCH(B8,'1_Generation_Inventory'!$B$6:$B$25,0)),"")</f>
        <v>3269100</v>
      </c>
      <c r="D8" s="26">
        <v>2124800</v>
      </c>
      <c r="E8" s="26">
        <v>8</v>
      </c>
      <c r="F8" s="26">
        <v>1961400</v>
      </c>
      <c r="G8" s="26">
        <v>1798000</v>
      </c>
      <c r="H8" s="26" t="s">
        <v>78</v>
      </c>
    </row>
    <row r="9" spans="1:8" ht="15" customHeight="1" x14ac:dyDescent="0.2">
      <c r="B9" s="26" t="s">
        <v>60</v>
      </c>
      <c r="C9" s="28">
        <f>IFERROR(INDEX('1_Generation_Inventory'!$J$6:$J$25,MATCH(B9,'1_Generation_Inventory'!$B$6:$B$25,0)),"")</f>
        <v>2917900</v>
      </c>
      <c r="D9" s="26">
        <v>1896700</v>
      </c>
      <c r="E9" s="26">
        <v>8</v>
      </c>
      <c r="F9" s="26">
        <v>1750800</v>
      </c>
      <c r="G9" s="26">
        <v>1604900</v>
      </c>
      <c r="H9" s="26" t="s">
        <v>78</v>
      </c>
    </row>
    <row r="10" spans="1:8" ht="15" customHeight="1" x14ac:dyDescent="0.2">
      <c r="B10" s="26" t="s">
        <v>61</v>
      </c>
      <c r="C10" s="28">
        <f>IFERROR(INDEX('1_Generation_Inventory'!$J$6:$J$25,MATCH(B10,'1_Generation_Inventory'!$B$6:$B$25,0)),"")</f>
        <v>2670900</v>
      </c>
      <c r="D10" s="26">
        <v>1736200</v>
      </c>
      <c r="E10" s="26">
        <v>7</v>
      </c>
      <c r="F10" s="26">
        <v>1602600</v>
      </c>
      <c r="G10" s="26">
        <v>1469100</v>
      </c>
      <c r="H10" s="26" t="s">
        <v>78</v>
      </c>
    </row>
    <row r="11" spans="1:8" ht="15" customHeight="1" x14ac:dyDescent="0.2">
      <c r="B11" s="26" t="s">
        <v>62</v>
      </c>
      <c r="C11" s="28">
        <f>IFERROR(INDEX('1_Generation_Inventory'!$J$6:$J$25,MATCH(B11,'1_Generation_Inventory'!$B$6:$B$25,0)),"")</f>
        <v>2796000</v>
      </c>
      <c r="D11" s="26">
        <v>1817400</v>
      </c>
      <c r="E11" s="26">
        <v>7</v>
      </c>
      <c r="F11" s="26">
        <v>1677600</v>
      </c>
      <c r="G11" s="26">
        <v>1537800</v>
      </c>
      <c r="H11" s="26" t="s">
        <v>78</v>
      </c>
    </row>
    <row r="12" spans="1:8" ht="15" customHeight="1" x14ac:dyDescent="0.2">
      <c r="B12" s="26" t="s">
        <v>63</v>
      </c>
      <c r="C12" s="28">
        <f>IFERROR(INDEX('1_Generation_Inventory'!$J$6:$J$25,MATCH(B12,'1_Generation_Inventory'!$B$6:$B$25,0)),"")</f>
        <v>2276000</v>
      </c>
      <c r="D12" s="26">
        <v>1479400</v>
      </c>
      <c r="E12" s="26">
        <v>6</v>
      </c>
      <c r="F12" s="26">
        <v>1365600</v>
      </c>
      <c r="G12" s="26">
        <v>1251800</v>
      </c>
      <c r="H12" s="26" t="s">
        <v>78</v>
      </c>
    </row>
    <row r="13" spans="1:8" ht="15" customHeight="1" x14ac:dyDescent="0.2">
      <c r="B13" s="26" t="s">
        <v>64</v>
      </c>
      <c r="C13" s="28">
        <f>IFERROR(INDEX('1_Generation_Inventory'!$J$6:$J$25,MATCH(B13,'1_Generation_Inventory'!$B$6:$B$25,0)),"")</f>
        <v>2012100</v>
      </c>
      <c r="D13" s="26">
        <v>1307800</v>
      </c>
      <c r="E13" s="26">
        <v>5</v>
      </c>
      <c r="F13" s="26">
        <v>1207200</v>
      </c>
      <c r="G13" s="26">
        <v>1106600</v>
      </c>
      <c r="H13" s="26" t="s">
        <v>78</v>
      </c>
    </row>
    <row r="14" spans="1:8" ht="15" customHeight="1" x14ac:dyDescent="0.2">
      <c r="B14" s="26" t="s">
        <v>65</v>
      </c>
      <c r="C14" s="28">
        <f>IFERROR(INDEX('1_Generation_Inventory'!$J$6:$J$25,MATCH(B14,'1_Generation_Inventory'!$B$6:$B$25,0)),"")</f>
        <v>1967000</v>
      </c>
      <c r="D14" s="26">
        <v>1278600</v>
      </c>
      <c r="E14" s="26">
        <v>5</v>
      </c>
      <c r="F14" s="26">
        <v>1180200</v>
      </c>
      <c r="G14" s="26">
        <v>1081800</v>
      </c>
      <c r="H14" s="26" t="s">
        <v>78</v>
      </c>
    </row>
    <row r="15" spans="1:8" ht="15" customHeight="1" x14ac:dyDescent="0.2">
      <c r="B15" s="26" t="s">
        <v>66</v>
      </c>
      <c r="C15" s="28">
        <f>IFERROR(INDEX('1_Generation_Inventory'!$J$6:$J$25,MATCH(B15,'1_Generation_Inventory'!$B$6:$B$25,0)),"")</f>
        <v>1673000</v>
      </c>
      <c r="D15" s="26">
        <v>1087400</v>
      </c>
      <c r="E15" s="26">
        <v>4</v>
      </c>
      <c r="F15" s="26">
        <v>1003800</v>
      </c>
      <c r="G15" s="26">
        <v>920200</v>
      </c>
      <c r="H15" s="26" t="s">
        <v>78</v>
      </c>
    </row>
    <row r="16" spans="1:8" ht="15" customHeight="1" x14ac:dyDescent="0.2">
      <c r="B16" s="26" t="s">
        <v>67</v>
      </c>
      <c r="C16" s="28">
        <f>IFERROR(INDEX('1_Generation_Inventory'!$J$6:$J$25,MATCH(B16,'1_Generation_Inventory'!$B$6:$B$25,0)),"")</f>
        <v>1080000</v>
      </c>
      <c r="D16" s="26">
        <v>702000</v>
      </c>
      <c r="E16" s="26">
        <v>3</v>
      </c>
      <c r="F16" s="26">
        <v>648000</v>
      </c>
      <c r="G16" s="26">
        <v>594000</v>
      </c>
      <c r="H16" s="26" t="s">
        <v>78</v>
      </c>
    </row>
    <row r="17" spans="2:8" ht="15" customHeight="1" x14ac:dyDescent="0.2">
      <c r="B17" s="26" t="s">
        <v>68</v>
      </c>
      <c r="C17" s="28">
        <f>IFERROR(INDEX('1_Generation_Inventory'!$J$6:$J$25,MATCH(B17,'1_Generation_Inventory'!$B$6:$B$25,0)),"")</f>
        <v>1180000</v>
      </c>
      <c r="D17" s="26">
        <v>767000</v>
      </c>
      <c r="E17" s="26">
        <v>3</v>
      </c>
      <c r="F17" s="26">
        <v>708000</v>
      </c>
      <c r="G17" s="26">
        <v>649000</v>
      </c>
      <c r="H17" s="26" t="s">
        <v>78</v>
      </c>
    </row>
    <row r="18" spans="2:8" ht="15" customHeight="1" x14ac:dyDescent="0.2">
      <c r="B18" s="26"/>
      <c r="C18" s="28" t="str">
        <f>IFERROR(INDEX('1_Generation_Inventory'!$J$6:$J$25,MATCH(B18,'1_Generation_Inventory'!$B$6:$B$25,0)),"")</f>
        <v/>
      </c>
      <c r="D18" s="26"/>
      <c r="E18" s="26"/>
      <c r="F18" s="26"/>
      <c r="G18" s="26"/>
      <c r="H18" s="26"/>
    </row>
    <row r="19" spans="2:8" ht="15" customHeight="1" x14ac:dyDescent="0.2">
      <c r="B19" s="26"/>
      <c r="C19" s="28" t="str">
        <f>IFERROR(INDEX('1_Generation_Inventory'!$J$6:$J$25,MATCH(B19,'1_Generation_Inventory'!$B$6:$B$25,0)),"")</f>
        <v/>
      </c>
      <c r="D19" s="26"/>
      <c r="E19" s="26"/>
      <c r="F19" s="26"/>
      <c r="G19" s="26"/>
      <c r="H19" s="26"/>
    </row>
    <row r="20" spans="2:8" ht="15" customHeight="1" x14ac:dyDescent="0.2">
      <c r="B20" s="26"/>
      <c r="C20" s="28" t="str">
        <f>IFERROR(INDEX('1_Generation_Inventory'!$J$6:$J$25,MATCH(B20,'1_Generation_Inventory'!$B$6:$B$25,0)),"")</f>
        <v/>
      </c>
      <c r="D20" s="26"/>
      <c r="E20" s="26"/>
      <c r="F20" s="26"/>
      <c r="G20" s="26"/>
      <c r="H20" s="26"/>
    </row>
    <row r="21" spans="2:8" ht="15" customHeight="1" x14ac:dyDescent="0.2">
      <c r="B21" s="26"/>
      <c r="C21" s="28" t="str">
        <f>IFERROR(INDEX('1_Generation_Inventory'!$J$6:$J$25,MATCH(B21,'1_Generation_Inventory'!$B$6:$B$25,0)),"")</f>
        <v/>
      </c>
      <c r="D21" s="26"/>
      <c r="E21" s="26"/>
      <c r="F21" s="26"/>
      <c r="G21" s="26"/>
      <c r="H21" s="26"/>
    </row>
    <row r="22" spans="2:8" ht="15" customHeight="1" x14ac:dyDescent="0.2">
      <c r="B22" s="26"/>
      <c r="C22" s="28" t="str">
        <f>IFERROR(INDEX('1_Generation_Inventory'!$J$6:$J$25,MATCH(B22,'1_Generation_Inventory'!$B$6:$B$25,0)),"")</f>
        <v/>
      </c>
      <c r="D22" s="26"/>
      <c r="E22" s="26"/>
      <c r="F22" s="26"/>
      <c r="G22" s="26"/>
      <c r="H22" s="26"/>
    </row>
    <row r="23" spans="2:8" ht="15" customHeight="1" x14ac:dyDescent="0.2">
      <c r="B23" s="26"/>
      <c r="C23" s="28" t="str">
        <f>IFERROR(INDEX('1_Generation_Inventory'!$J$6:$J$25,MATCH(B23,'1_Generation_Inventory'!$B$6:$B$25,0)),"")</f>
        <v/>
      </c>
      <c r="D23" s="26"/>
      <c r="E23" s="26"/>
      <c r="F23" s="26"/>
      <c r="G23" s="26"/>
      <c r="H23" s="26"/>
    </row>
    <row r="24" spans="2:8" ht="15" customHeight="1" x14ac:dyDescent="0.2">
      <c r="B24" s="26"/>
      <c r="C24" s="28" t="str">
        <f>IFERROR(INDEX('1_Generation_Inventory'!$J$6:$J$25,MATCH(B24,'1_Generation_Inventory'!$B$6:$B$25,0)),"")</f>
        <v/>
      </c>
      <c r="D24" s="26"/>
      <c r="E24" s="26"/>
      <c r="F24" s="26"/>
      <c r="G24" s="26"/>
      <c r="H24" s="26"/>
    </row>
    <row r="25" spans="2:8" ht="15" customHeight="1" x14ac:dyDescent="0.2">
      <c r="B25" s="26"/>
      <c r="C25" s="28" t="str">
        <f>IFERROR(INDEX('1_Generation_Inventory'!$J$6:$J$25,MATCH(B25,'1_Generation_Inventory'!$B$6:$B$25,0)),"")</f>
        <v/>
      </c>
      <c r="D25" s="26"/>
      <c r="E25" s="26"/>
      <c r="F25" s="26"/>
      <c r="G25" s="26"/>
      <c r="H25" s="26"/>
    </row>
    <row r="27" spans="2:8" ht="15" customHeight="1" x14ac:dyDescent="0.2">
      <c r="B27" s="22" t="s">
        <v>69</v>
      </c>
      <c r="C27" s="22">
        <f>SUM(C6:C25)</f>
        <v>37527000</v>
      </c>
      <c r="D27" s="22">
        <f>SUM(D6:D25)</f>
        <v>24392600</v>
      </c>
      <c r="E27" s="22">
        <f>SUM(E6:E25)</f>
        <v>96</v>
      </c>
      <c r="F27" s="22">
        <f>SUM(F6:F25)</f>
        <v>22516200</v>
      </c>
      <c r="G27" s="22">
        <f>SUM(G6:G25)</f>
        <v>20639900</v>
      </c>
    </row>
  </sheetData>
  <mergeCells count="2">
    <mergeCell ref="A2:G2"/>
    <mergeCell ref="B3:H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8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3" customWidth="1"/>
    <col min="2" max="2" width="27.98046875" style="13" customWidth="1"/>
    <col min="3" max="3" width="22.05859375" style="13" customWidth="1"/>
    <col min="4" max="4" width="13.98828125" style="13" customWidth="1"/>
    <col min="5" max="5" width="16.0078125" style="13" customWidth="1"/>
    <col min="6" max="6" width="20.04296875" style="13" customWidth="1"/>
    <col min="7" max="8" width="18.0234375" style="13" customWidth="1"/>
  </cols>
  <sheetData>
    <row r="2" spans="1:8" ht="25.5" customHeight="1" x14ac:dyDescent="0.2">
      <c r="A2" s="12" t="s">
        <v>79</v>
      </c>
      <c r="B2" s="12"/>
      <c r="C2" s="12"/>
      <c r="D2" s="12"/>
      <c r="E2" s="12"/>
      <c r="F2" s="12"/>
      <c r="G2" s="12"/>
    </row>
    <row r="3" spans="1:8" ht="15" customHeight="1" x14ac:dyDescent="0.2">
      <c r="B3" s="11" t="s">
        <v>80</v>
      </c>
      <c r="C3" s="11"/>
      <c r="D3" s="11"/>
      <c r="E3" s="11"/>
      <c r="F3" s="11"/>
      <c r="G3" s="11"/>
      <c r="H3" s="11"/>
    </row>
    <row r="5" spans="1:8" ht="31.5" customHeight="1" x14ac:dyDescent="0.2">
      <c r="B5" s="14" t="s">
        <v>81</v>
      </c>
      <c r="C5" s="14" t="s">
        <v>82</v>
      </c>
      <c r="D5" s="14" t="s">
        <v>46</v>
      </c>
      <c r="E5" s="14" t="s">
        <v>83</v>
      </c>
      <c r="F5" s="14" t="s">
        <v>84</v>
      </c>
      <c r="G5" s="14" t="s">
        <v>85</v>
      </c>
      <c r="H5" s="14" t="s">
        <v>86</v>
      </c>
    </row>
    <row r="6" spans="1:8" ht="23.25" customHeight="1" x14ac:dyDescent="0.2">
      <c r="B6" s="26" t="s">
        <v>87</v>
      </c>
      <c r="C6" s="26" t="s">
        <v>88</v>
      </c>
      <c r="D6" s="26" t="s">
        <v>66</v>
      </c>
      <c r="E6" s="26">
        <v>96000</v>
      </c>
      <c r="F6" s="26">
        <v>13000</v>
      </c>
      <c r="G6" s="29">
        <v>0.82</v>
      </c>
      <c r="H6" s="26" t="s">
        <v>88</v>
      </c>
    </row>
    <row r="7" spans="1:8" ht="15" customHeight="1" x14ac:dyDescent="0.2">
      <c r="B7" s="26" t="s">
        <v>89</v>
      </c>
      <c r="C7" s="26" t="s">
        <v>88</v>
      </c>
      <c r="D7" s="26" t="s">
        <v>67</v>
      </c>
      <c r="E7" s="26">
        <v>15000</v>
      </c>
      <c r="F7" s="26">
        <v>2500</v>
      </c>
      <c r="G7" s="29">
        <v>0.7</v>
      </c>
      <c r="H7" s="26" t="s">
        <v>88</v>
      </c>
    </row>
    <row r="8" spans="1:8" ht="15" customHeight="1" x14ac:dyDescent="0.2">
      <c r="B8" s="26" t="s">
        <v>90</v>
      </c>
      <c r="C8" s="26" t="s">
        <v>88</v>
      </c>
      <c r="D8" s="26" t="s">
        <v>56</v>
      </c>
      <c r="E8" s="26">
        <v>25000</v>
      </c>
      <c r="F8" s="26">
        <v>0</v>
      </c>
      <c r="G8" s="29"/>
      <c r="H8" s="26" t="s">
        <v>88</v>
      </c>
    </row>
    <row r="9" spans="1:8" ht="15" customHeight="1" x14ac:dyDescent="0.2">
      <c r="B9" s="26" t="s">
        <v>91</v>
      </c>
      <c r="C9" s="26" t="s">
        <v>88</v>
      </c>
      <c r="D9" s="26" t="s">
        <v>56</v>
      </c>
      <c r="E9" s="26">
        <v>900</v>
      </c>
      <c r="F9" s="26">
        <v>650</v>
      </c>
      <c r="G9" s="29">
        <v>0.65</v>
      </c>
      <c r="H9" s="26" t="s">
        <v>88</v>
      </c>
    </row>
    <row r="10" spans="1:8" ht="15" customHeight="1" x14ac:dyDescent="0.2">
      <c r="B10" s="26" t="s">
        <v>92</v>
      </c>
      <c r="C10" s="26" t="s">
        <v>88</v>
      </c>
      <c r="D10" s="26" t="s">
        <v>67</v>
      </c>
      <c r="E10" s="26"/>
      <c r="F10" s="26"/>
      <c r="G10" s="29"/>
      <c r="H10" s="26" t="s">
        <v>88</v>
      </c>
    </row>
    <row r="11" spans="1:8" ht="15" customHeight="1" x14ac:dyDescent="0.2">
      <c r="B11" s="26" t="s">
        <v>93</v>
      </c>
      <c r="C11" s="26" t="s">
        <v>88</v>
      </c>
      <c r="D11" s="26" t="s">
        <v>56</v>
      </c>
      <c r="E11" s="26"/>
      <c r="F11" s="26"/>
      <c r="G11" s="29"/>
      <c r="H11" s="26" t="s">
        <v>88</v>
      </c>
    </row>
    <row r="12" spans="1:8" ht="15" customHeight="1" x14ac:dyDescent="0.2">
      <c r="B12" s="26" t="s">
        <v>94</v>
      </c>
      <c r="C12" s="26" t="s">
        <v>88</v>
      </c>
      <c r="D12" s="26" t="s">
        <v>56</v>
      </c>
      <c r="E12" s="26"/>
      <c r="F12" s="26"/>
      <c r="G12" s="29"/>
      <c r="H12" s="26" t="s">
        <v>88</v>
      </c>
    </row>
    <row r="13" spans="1:8" ht="15" customHeight="1" x14ac:dyDescent="0.2">
      <c r="B13" s="26" t="s">
        <v>95</v>
      </c>
      <c r="C13" s="26" t="s">
        <v>88</v>
      </c>
      <c r="D13" s="26" t="s">
        <v>56</v>
      </c>
      <c r="E13" s="26"/>
      <c r="F13" s="26"/>
      <c r="G13" s="29"/>
      <c r="H13" s="26" t="s">
        <v>88</v>
      </c>
    </row>
    <row r="14" spans="1:8" ht="15" customHeight="1" x14ac:dyDescent="0.2">
      <c r="B14" s="26" t="s">
        <v>96</v>
      </c>
      <c r="C14" s="26" t="s">
        <v>88</v>
      </c>
      <c r="D14" s="26" t="s">
        <v>68</v>
      </c>
      <c r="E14" s="26"/>
      <c r="F14" s="26"/>
      <c r="G14" s="29"/>
      <c r="H14" s="26" t="s">
        <v>88</v>
      </c>
    </row>
    <row r="15" spans="1:8" ht="15" customHeight="1" x14ac:dyDescent="0.2">
      <c r="B15" s="26" t="s">
        <v>97</v>
      </c>
      <c r="C15" s="26" t="s">
        <v>88</v>
      </c>
      <c r="D15" s="26" t="s">
        <v>56</v>
      </c>
      <c r="E15" s="26"/>
      <c r="F15" s="26"/>
      <c r="G15" s="29"/>
      <c r="H15" s="26" t="s">
        <v>88</v>
      </c>
    </row>
    <row r="16" spans="1:8" ht="15" customHeight="1" x14ac:dyDescent="0.2">
      <c r="B16" s="26"/>
      <c r="C16" s="26"/>
      <c r="D16" s="26"/>
      <c r="E16" s="26"/>
      <c r="F16" s="26"/>
      <c r="G16" s="29"/>
      <c r="H16" s="26"/>
    </row>
    <row r="17" spans="2:8" ht="15" customHeight="1" x14ac:dyDescent="0.2">
      <c r="B17" s="26"/>
      <c r="C17" s="26"/>
      <c r="D17" s="26"/>
      <c r="E17" s="26"/>
      <c r="F17" s="26"/>
      <c r="G17" s="29"/>
      <c r="H17" s="26"/>
    </row>
    <row r="18" spans="2:8" ht="15" customHeight="1" x14ac:dyDescent="0.2">
      <c r="B18" s="26"/>
      <c r="C18" s="26"/>
      <c r="D18" s="26"/>
      <c r="E18" s="26"/>
      <c r="F18" s="26"/>
      <c r="G18" s="29"/>
      <c r="H18" s="26"/>
    </row>
    <row r="19" spans="2:8" ht="15" customHeight="1" x14ac:dyDescent="0.2">
      <c r="B19" s="26"/>
      <c r="C19" s="26"/>
      <c r="D19" s="26"/>
      <c r="E19" s="26"/>
      <c r="F19" s="26"/>
      <c r="G19" s="29"/>
      <c r="H19" s="26"/>
    </row>
    <row r="20" spans="2:8" ht="15" customHeight="1" x14ac:dyDescent="0.2">
      <c r="B20" s="26"/>
      <c r="C20" s="26"/>
      <c r="D20" s="26"/>
      <c r="E20" s="26"/>
      <c r="F20" s="26"/>
      <c r="G20" s="29"/>
      <c r="H20" s="26"/>
    </row>
    <row r="21" spans="2:8" ht="15" customHeight="1" x14ac:dyDescent="0.2">
      <c r="B21" s="26"/>
      <c r="C21" s="26"/>
      <c r="D21" s="26"/>
      <c r="E21" s="26"/>
      <c r="F21" s="26"/>
      <c r="G21" s="29"/>
      <c r="H21" s="26"/>
    </row>
    <row r="22" spans="2:8" ht="15" customHeight="1" x14ac:dyDescent="0.2">
      <c r="B22" s="26"/>
      <c r="C22" s="26"/>
      <c r="D22" s="26"/>
      <c r="E22" s="26"/>
      <c r="F22" s="26"/>
      <c r="G22" s="29"/>
      <c r="H22" s="26"/>
    </row>
    <row r="23" spans="2:8" ht="15" customHeight="1" x14ac:dyDescent="0.2">
      <c r="B23" s="26"/>
      <c r="C23" s="26"/>
      <c r="D23" s="26"/>
      <c r="E23" s="26"/>
      <c r="F23" s="26"/>
      <c r="G23" s="29"/>
      <c r="H23" s="26"/>
    </row>
    <row r="24" spans="2:8" ht="15" customHeight="1" x14ac:dyDescent="0.2">
      <c r="B24" s="26"/>
      <c r="C24" s="26"/>
      <c r="D24" s="26"/>
      <c r="E24" s="26"/>
      <c r="F24" s="26"/>
      <c r="G24" s="29"/>
      <c r="H24" s="26"/>
    </row>
    <row r="25" spans="2:8" ht="15" customHeight="1" x14ac:dyDescent="0.2">
      <c r="B25" s="26"/>
      <c r="C25" s="26"/>
      <c r="D25" s="26"/>
      <c r="E25" s="26"/>
      <c r="F25" s="26"/>
      <c r="G25" s="29"/>
      <c r="H25" s="26"/>
    </row>
    <row r="26" spans="2:8" ht="15" customHeight="1" x14ac:dyDescent="0.2">
      <c r="B26" s="26"/>
      <c r="C26" s="26"/>
      <c r="D26" s="26"/>
      <c r="E26" s="26"/>
      <c r="F26" s="26"/>
      <c r="G26" s="29"/>
      <c r="H26" s="26"/>
    </row>
    <row r="28" spans="2:8" ht="15" customHeight="1" x14ac:dyDescent="0.2">
      <c r="B28" s="22" t="s">
        <v>69</v>
      </c>
      <c r="D28" s="22">
        <f>SUM(D6:D26)</f>
        <v>0</v>
      </c>
      <c r="E28" s="22">
        <f>SUM(E6:E26)</f>
        <v>136900</v>
      </c>
      <c r="F28" s="30">
        <f>IFERROR(AVERAGE(F6:F26),0)</f>
        <v>4037.5</v>
      </c>
    </row>
  </sheetData>
  <mergeCells count="2">
    <mergeCell ref="A2:G2"/>
    <mergeCell ref="B3:H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33"/>
  <sheetViews>
    <sheetView showGridLines="0" zoomScaleNormal="100" workbookViewId="0">
      <pane xSplit="2" ySplit="6" topLeftCell="G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3" customWidth="1"/>
    <col min="2" max="2" width="25.9609375" style="13" customWidth="1"/>
    <col min="3" max="3" width="20.04296875" style="13" customWidth="1"/>
    <col min="4" max="4" width="18.0234375" style="13" customWidth="1"/>
    <col min="5" max="5" width="16.0078125" style="13" customWidth="1"/>
    <col min="6" max="6" width="18.0234375" style="13" customWidth="1"/>
    <col min="7" max="7" width="22.05859375" style="13" customWidth="1"/>
    <col min="8" max="8" width="18.0234375" style="13" customWidth="1"/>
    <col min="9" max="9" width="27.98046875" style="13" customWidth="1"/>
  </cols>
  <sheetData>
    <row r="2" spans="1:9" ht="25.5" customHeight="1" x14ac:dyDescent="0.2">
      <c r="A2" s="12" t="s">
        <v>98</v>
      </c>
      <c r="B2" s="12"/>
      <c r="C2" s="12"/>
      <c r="D2" s="12"/>
      <c r="E2" s="12"/>
      <c r="F2" s="12"/>
      <c r="G2" s="12"/>
      <c r="H2" s="12"/>
    </row>
    <row r="3" spans="1:9" ht="15" customHeight="1" x14ac:dyDescent="0.2">
      <c r="B3" s="11" t="s">
        <v>99</v>
      </c>
      <c r="C3" s="11"/>
      <c r="D3" s="11"/>
      <c r="E3" s="11"/>
      <c r="F3" s="11"/>
      <c r="G3" s="11"/>
      <c r="H3" s="11"/>
      <c r="I3" s="11"/>
    </row>
    <row r="5" spans="1:9" ht="31.5" customHeight="1" x14ac:dyDescent="0.2">
      <c r="B5" s="14" t="s">
        <v>100</v>
      </c>
      <c r="C5" s="14" t="s">
        <v>101</v>
      </c>
      <c r="D5" s="14" t="s">
        <v>102</v>
      </c>
      <c r="E5" s="14" t="s">
        <v>103</v>
      </c>
      <c r="F5" s="14" t="s">
        <v>104</v>
      </c>
      <c r="G5" s="14" t="s">
        <v>105</v>
      </c>
      <c r="H5" s="14" t="s">
        <v>106</v>
      </c>
      <c r="I5" s="14" t="s">
        <v>77</v>
      </c>
    </row>
    <row r="6" spans="1:9" ht="15" customHeight="1" x14ac:dyDescent="0.2">
      <c r="B6" s="26" t="s">
        <v>107</v>
      </c>
      <c r="C6" s="26" t="s">
        <v>88</v>
      </c>
      <c r="D6" s="26" t="s">
        <v>108</v>
      </c>
      <c r="E6" s="26" t="s">
        <v>109</v>
      </c>
      <c r="F6" s="26" t="s">
        <v>109</v>
      </c>
      <c r="G6" s="26" t="s">
        <v>110</v>
      </c>
      <c r="H6" s="26" t="s">
        <v>111</v>
      </c>
      <c r="I6" s="26" t="s">
        <v>112</v>
      </c>
    </row>
    <row r="7" spans="1:9" ht="15" customHeight="1" x14ac:dyDescent="0.2">
      <c r="B7" s="26" t="s">
        <v>113</v>
      </c>
      <c r="C7" s="26" t="s">
        <v>88</v>
      </c>
      <c r="D7" s="26" t="s">
        <v>108</v>
      </c>
      <c r="E7" s="26" t="s">
        <v>109</v>
      </c>
      <c r="F7" s="26" t="s">
        <v>109</v>
      </c>
      <c r="G7" s="26" t="s">
        <v>110</v>
      </c>
      <c r="H7" s="26" t="s">
        <v>111</v>
      </c>
      <c r="I7" s="26" t="s">
        <v>112</v>
      </c>
    </row>
    <row r="8" spans="1:9" ht="15" customHeight="1" x14ac:dyDescent="0.2">
      <c r="B8" s="26" t="s">
        <v>114</v>
      </c>
      <c r="C8" s="26" t="s">
        <v>88</v>
      </c>
      <c r="D8" s="26" t="s">
        <v>108</v>
      </c>
      <c r="E8" s="26" t="s">
        <v>109</v>
      </c>
      <c r="F8" s="26" t="s">
        <v>109</v>
      </c>
      <c r="G8" s="26" t="s">
        <v>110</v>
      </c>
      <c r="H8" s="26" t="s">
        <v>111</v>
      </c>
      <c r="I8" s="26" t="s">
        <v>112</v>
      </c>
    </row>
    <row r="9" spans="1:9" ht="15" customHeight="1" x14ac:dyDescent="0.2">
      <c r="B9" s="26" t="s">
        <v>115</v>
      </c>
      <c r="C9" s="26" t="s">
        <v>88</v>
      </c>
      <c r="D9" s="26" t="s">
        <v>116</v>
      </c>
      <c r="E9" s="26" t="s">
        <v>109</v>
      </c>
      <c r="F9" s="26" t="s">
        <v>109</v>
      </c>
      <c r="G9" s="26" t="s">
        <v>109</v>
      </c>
      <c r="H9" s="26" t="s">
        <v>110</v>
      </c>
      <c r="I9" s="26" t="s">
        <v>112</v>
      </c>
    </row>
    <row r="10" spans="1:9" ht="15" customHeight="1" x14ac:dyDescent="0.2">
      <c r="B10" s="26" t="s">
        <v>117</v>
      </c>
      <c r="C10" s="26" t="s">
        <v>88</v>
      </c>
      <c r="D10" s="26" t="s">
        <v>108</v>
      </c>
      <c r="E10" s="26" t="s">
        <v>109</v>
      </c>
      <c r="F10" s="26" t="s">
        <v>110</v>
      </c>
      <c r="G10" s="26" t="s">
        <v>110</v>
      </c>
      <c r="H10" s="26" t="s">
        <v>111</v>
      </c>
      <c r="I10" s="26" t="s">
        <v>112</v>
      </c>
    </row>
    <row r="11" spans="1:9" ht="15" customHeight="1" x14ac:dyDescent="0.2">
      <c r="B11" s="26" t="s">
        <v>118</v>
      </c>
      <c r="C11" s="26" t="s">
        <v>88</v>
      </c>
      <c r="D11" s="26" t="s">
        <v>108</v>
      </c>
      <c r="E11" s="26" t="s">
        <v>109</v>
      </c>
      <c r="F11" s="26" t="s">
        <v>109</v>
      </c>
      <c r="G11" s="26" t="s">
        <v>110</v>
      </c>
      <c r="H11" s="26" t="s">
        <v>111</v>
      </c>
      <c r="I11" s="26" t="s">
        <v>112</v>
      </c>
    </row>
    <row r="12" spans="1:9" ht="15" customHeight="1" x14ac:dyDescent="0.2">
      <c r="B12" s="26" t="s">
        <v>119</v>
      </c>
      <c r="C12" s="26" t="s">
        <v>88</v>
      </c>
      <c r="D12" s="26" t="s">
        <v>116</v>
      </c>
      <c r="E12" s="26" t="s">
        <v>109</v>
      </c>
      <c r="F12" s="26" t="s">
        <v>109</v>
      </c>
      <c r="G12" s="26" t="s">
        <v>109</v>
      </c>
      <c r="H12" s="26" t="s">
        <v>109</v>
      </c>
      <c r="I12" s="26" t="s">
        <v>112</v>
      </c>
    </row>
    <row r="13" spans="1:9" ht="15" customHeight="1" x14ac:dyDescent="0.2">
      <c r="B13" s="26" t="s">
        <v>120</v>
      </c>
      <c r="C13" s="26" t="s">
        <v>88</v>
      </c>
      <c r="D13" s="26" t="s">
        <v>108</v>
      </c>
      <c r="E13" s="26" t="s">
        <v>110</v>
      </c>
      <c r="F13" s="26" t="s">
        <v>110</v>
      </c>
      <c r="G13" s="26" t="s">
        <v>110</v>
      </c>
      <c r="H13" s="26" t="s">
        <v>111</v>
      </c>
      <c r="I13" s="26" t="s">
        <v>112</v>
      </c>
    </row>
    <row r="14" spans="1:9" ht="15" customHeight="1" x14ac:dyDescent="0.2">
      <c r="B14" s="26"/>
      <c r="C14" s="26"/>
      <c r="D14" s="26"/>
      <c r="E14" s="26"/>
      <c r="F14" s="26"/>
      <c r="G14" s="26"/>
      <c r="H14" s="26"/>
      <c r="I14" s="26"/>
    </row>
    <row r="15" spans="1:9" ht="15" customHeight="1" x14ac:dyDescent="0.2">
      <c r="B15" s="26"/>
      <c r="C15" s="26"/>
      <c r="D15" s="26"/>
      <c r="E15" s="26"/>
      <c r="F15" s="26"/>
      <c r="G15" s="26"/>
      <c r="H15" s="26"/>
      <c r="I15" s="26"/>
    </row>
    <row r="16" spans="1:9" ht="15" customHeight="1" x14ac:dyDescent="0.2">
      <c r="B16" s="26"/>
      <c r="C16" s="26"/>
      <c r="D16" s="26"/>
      <c r="E16" s="26"/>
      <c r="F16" s="26"/>
      <c r="G16" s="26"/>
      <c r="H16" s="26"/>
      <c r="I16" s="26"/>
    </row>
    <row r="17" spans="2:9" ht="15" customHeight="1" x14ac:dyDescent="0.2">
      <c r="B17" s="26"/>
      <c r="C17" s="26"/>
      <c r="D17" s="26"/>
      <c r="E17" s="26"/>
      <c r="F17" s="26"/>
      <c r="G17" s="26"/>
      <c r="H17" s="26"/>
      <c r="I17" s="26"/>
    </row>
    <row r="18" spans="2:9" ht="15" customHeight="1" x14ac:dyDescent="0.2">
      <c r="B18" s="26"/>
      <c r="C18" s="26"/>
      <c r="D18" s="26"/>
      <c r="E18" s="26"/>
      <c r="F18" s="26"/>
      <c r="G18" s="26"/>
      <c r="H18" s="26"/>
      <c r="I18" s="26"/>
    </row>
    <row r="19" spans="2:9" ht="15" customHeight="1" x14ac:dyDescent="0.2">
      <c r="B19" s="26"/>
      <c r="C19" s="26"/>
      <c r="D19" s="26"/>
      <c r="E19" s="26"/>
      <c r="F19" s="26"/>
      <c r="G19" s="26"/>
      <c r="H19" s="26"/>
      <c r="I19" s="26"/>
    </row>
    <row r="20" spans="2:9" ht="15" customHeight="1" x14ac:dyDescent="0.2">
      <c r="B20" s="26"/>
      <c r="C20" s="26"/>
      <c r="D20" s="26"/>
      <c r="E20" s="26"/>
      <c r="F20" s="26"/>
      <c r="G20" s="26"/>
      <c r="H20" s="26"/>
      <c r="I20" s="26"/>
    </row>
    <row r="21" spans="2:9" ht="15" customHeight="1" x14ac:dyDescent="0.2">
      <c r="B21" s="26"/>
      <c r="C21" s="26"/>
      <c r="D21" s="26"/>
      <c r="E21" s="26"/>
      <c r="F21" s="26"/>
      <c r="G21" s="26"/>
      <c r="H21" s="26"/>
      <c r="I21" s="26"/>
    </row>
    <row r="22" spans="2:9" ht="15" customHeight="1" x14ac:dyDescent="0.2">
      <c r="B22" s="26"/>
      <c r="C22" s="26"/>
      <c r="D22" s="26"/>
      <c r="E22" s="26"/>
      <c r="F22" s="26"/>
      <c r="G22" s="26"/>
      <c r="H22" s="26"/>
      <c r="I22" s="26"/>
    </row>
    <row r="23" spans="2:9" ht="15" customHeight="1" x14ac:dyDescent="0.2">
      <c r="B23" s="26"/>
      <c r="C23" s="26"/>
      <c r="D23" s="26"/>
      <c r="E23" s="26"/>
      <c r="F23" s="26"/>
      <c r="G23" s="26"/>
      <c r="H23" s="26"/>
      <c r="I23" s="26"/>
    </row>
    <row r="24" spans="2:9" ht="15" customHeight="1" x14ac:dyDescent="0.2">
      <c r="B24" s="26"/>
      <c r="C24" s="26"/>
      <c r="D24" s="26"/>
      <c r="E24" s="26"/>
      <c r="F24" s="26"/>
      <c r="G24" s="26"/>
      <c r="H24" s="26"/>
      <c r="I24" s="26"/>
    </row>
    <row r="25" spans="2:9" ht="15" customHeight="1" x14ac:dyDescent="0.2">
      <c r="B25" s="26"/>
      <c r="C25" s="26"/>
      <c r="D25" s="26"/>
      <c r="E25" s="26"/>
      <c r="F25" s="26"/>
      <c r="G25" s="26"/>
      <c r="H25" s="26"/>
      <c r="I25" s="26"/>
    </row>
    <row r="26" spans="2:9" ht="15" customHeight="1" x14ac:dyDescent="0.2">
      <c r="B26" s="26"/>
      <c r="C26" s="26"/>
      <c r="D26" s="26"/>
      <c r="E26" s="26"/>
      <c r="F26" s="26"/>
      <c r="G26" s="26"/>
      <c r="H26" s="26"/>
      <c r="I26" s="26"/>
    </row>
    <row r="28" spans="2:9" ht="15" customHeight="1" x14ac:dyDescent="0.2">
      <c r="B28" s="22" t="s">
        <v>108</v>
      </c>
      <c r="C28" s="22">
        <f>COUNTIF(D6:D26,"Compliant")</f>
        <v>6</v>
      </c>
    </row>
    <row r="29" spans="2:9" ht="15" customHeight="1" x14ac:dyDescent="0.2">
      <c r="B29" s="22" t="s">
        <v>121</v>
      </c>
      <c r="C29" s="22">
        <f>COUNTA(B6:B26)</f>
        <v>8</v>
      </c>
    </row>
    <row r="30" spans="2:9" ht="15" customHeight="1" x14ac:dyDescent="0.2">
      <c r="B30" s="22" t="s">
        <v>122</v>
      </c>
      <c r="C30" s="22">
        <f>COUNTIF(E6:E26,"Yes")</f>
        <v>7</v>
      </c>
    </row>
    <row r="31" spans="2:9" ht="15" customHeight="1" x14ac:dyDescent="0.2">
      <c r="B31" s="22" t="s">
        <v>123</v>
      </c>
      <c r="C31" s="22">
        <f>COUNTIF(F6:F26,"Yes")</f>
        <v>6</v>
      </c>
    </row>
    <row r="32" spans="2:9" ht="15" customHeight="1" x14ac:dyDescent="0.2">
      <c r="B32" s="22" t="s">
        <v>124</v>
      </c>
      <c r="C32" s="22">
        <f>COUNTIF(G6:G26,"Yes")</f>
        <v>2</v>
      </c>
    </row>
    <row r="33" spans="2:3" ht="15" customHeight="1" x14ac:dyDescent="0.2">
      <c r="B33" s="22" t="s">
        <v>125</v>
      </c>
      <c r="C33" s="22">
        <f>COUNTIF(H6:H26,"Yes")</f>
        <v>1</v>
      </c>
    </row>
  </sheetData>
  <mergeCells count="2">
    <mergeCell ref="A2:H2"/>
    <mergeCell ref="B3:I3"/>
  </mergeCells>
  <dataValidations count="2">
    <dataValidation type="list" allowBlank="1" sqref="D7:D26" xr:uid="{00000000-0002-0000-0500-000000000000}">
      <formula1>"Compliant,Non-compliant,Under Review"</formula1>
      <formula2>0</formula2>
    </dataValidation>
    <dataValidation type="list" allowBlank="1" sqref="E7:H26" xr:uid="{00000000-0002-0000-0500-000001000000}">
      <formula1>"Yes,No,N/A"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31"/>
  <sheetViews>
    <sheetView showGridLines="0" tabSelected="1" zoomScaleNormal="100" workbookViewId="0">
      <pane xSplit="2" ySplit="6" topLeftCell="G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3" customWidth="1"/>
    <col min="2" max="2" width="29.99609375" style="13" customWidth="1"/>
    <col min="3" max="3" width="16.0078125" style="13" customWidth="1"/>
    <col min="4" max="5" width="20.04296875" style="13" customWidth="1"/>
    <col min="6" max="6" width="22.05859375" style="13" customWidth="1"/>
    <col min="7" max="7" width="32.015625" style="13" customWidth="1"/>
    <col min="8" max="8" width="23.9453125" style="13" customWidth="1"/>
  </cols>
  <sheetData>
    <row r="2" spans="1:8" ht="25.5" customHeight="1" x14ac:dyDescent="0.2">
      <c r="A2" s="12" t="s">
        <v>126</v>
      </c>
      <c r="B2" s="12"/>
      <c r="C2" s="12"/>
      <c r="D2" s="12"/>
      <c r="E2" s="12"/>
      <c r="F2" s="12"/>
      <c r="G2" s="12"/>
    </row>
    <row r="3" spans="1:8" ht="15" customHeight="1" x14ac:dyDescent="0.2">
      <c r="B3" s="11" t="s">
        <v>127</v>
      </c>
      <c r="C3" s="11"/>
      <c r="D3" s="11"/>
      <c r="E3" s="11"/>
      <c r="F3" s="11"/>
      <c r="G3" s="11"/>
      <c r="H3" s="11"/>
    </row>
    <row r="5" spans="1:8" ht="31.5" customHeight="1" x14ac:dyDescent="0.2">
      <c r="B5" s="14" t="s">
        <v>128</v>
      </c>
      <c r="C5" s="14" t="s">
        <v>46</v>
      </c>
      <c r="D5" s="14" t="s">
        <v>129</v>
      </c>
      <c r="E5" s="14" t="s">
        <v>130</v>
      </c>
      <c r="F5" s="14" t="s">
        <v>131</v>
      </c>
      <c r="G5" s="14" t="s">
        <v>132</v>
      </c>
      <c r="H5" s="14" t="s">
        <v>77</v>
      </c>
    </row>
    <row r="6" spans="1:8" ht="34.5" customHeight="1" x14ac:dyDescent="0.2">
      <c r="B6" s="26" t="s">
        <v>133</v>
      </c>
      <c r="C6" s="26" t="s">
        <v>56</v>
      </c>
      <c r="D6" s="26" t="s">
        <v>134</v>
      </c>
      <c r="E6" s="26">
        <v>120</v>
      </c>
      <c r="F6" s="26">
        <v>40</v>
      </c>
      <c r="G6" s="26" t="s">
        <v>135</v>
      </c>
      <c r="H6" s="26" t="s">
        <v>112</v>
      </c>
    </row>
    <row r="7" spans="1:8" ht="15" customHeight="1" x14ac:dyDescent="0.2">
      <c r="B7" s="26" t="s">
        <v>136</v>
      </c>
      <c r="C7" s="26" t="s">
        <v>56</v>
      </c>
      <c r="D7" s="26" t="s">
        <v>137</v>
      </c>
      <c r="E7" s="26">
        <v>90</v>
      </c>
      <c r="F7" s="26">
        <v>15</v>
      </c>
      <c r="G7" s="26" t="s">
        <v>138</v>
      </c>
      <c r="H7" s="26" t="s">
        <v>112</v>
      </c>
    </row>
    <row r="8" spans="1:8" ht="15" customHeight="1" x14ac:dyDescent="0.2">
      <c r="B8" s="26" t="s">
        <v>139</v>
      </c>
      <c r="C8" s="26" t="s">
        <v>56</v>
      </c>
      <c r="D8" s="26" t="s">
        <v>134</v>
      </c>
      <c r="E8" s="26">
        <v>75</v>
      </c>
      <c r="F8" s="26">
        <v>25</v>
      </c>
      <c r="G8" s="26" t="s">
        <v>140</v>
      </c>
      <c r="H8" s="26" t="s">
        <v>112</v>
      </c>
    </row>
    <row r="9" spans="1:8" ht="15" customHeight="1" x14ac:dyDescent="0.2">
      <c r="B9" s="26" t="s">
        <v>141</v>
      </c>
      <c r="C9" s="26" t="s">
        <v>66</v>
      </c>
      <c r="D9" s="26" t="s">
        <v>137</v>
      </c>
      <c r="E9" s="26">
        <v>50</v>
      </c>
      <c r="F9" s="26">
        <v>10</v>
      </c>
      <c r="G9" s="26" t="s">
        <v>142</v>
      </c>
      <c r="H9" s="26" t="s">
        <v>112</v>
      </c>
    </row>
    <row r="10" spans="1:8" ht="15" customHeight="1" x14ac:dyDescent="0.2">
      <c r="B10" s="26" t="s">
        <v>143</v>
      </c>
      <c r="C10" s="26" t="s">
        <v>67</v>
      </c>
      <c r="D10" s="26" t="s">
        <v>134</v>
      </c>
      <c r="E10" s="26">
        <v>60</v>
      </c>
      <c r="F10" s="26">
        <v>20</v>
      </c>
      <c r="G10" s="26" t="s">
        <v>144</v>
      </c>
      <c r="H10" s="26" t="s">
        <v>112</v>
      </c>
    </row>
    <row r="11" spans="1:8" ht="15" customHeight="1" x14ac:dyDescent="0.2">
      <c r="B11" s="26" t="s">
        <v>145</v>
      </c>
      <c r="C11" s="26" t="s">
        <v>56</v>
      </c>
      <c r="D11" s="26" t="s">
        <v>146</v>
      </c>
      <c r="E11" s="26">
        <v>100</v>
      </c>
      <c r="F11" s="26">
        <v>0</v>
      </c>
      <c r="G11" s="26" t="s">
        <v>147</v>
      </c>
      <c r="H11" s="26" t="s">
        <v>112</v>
      </c>
    </row>
    <row r="12" spans="1:8" ht="15" customHeight="1" x14ac:dyDescent="0.2">
      <c r="B12" s="26"/>
      <c r="C12" s="26"/>
      <c r="D12" s="26"/>
      <c r="E12" s="26"/>
      <c r="F12" s="26"/>
      <c r="G12" s="26"/>
      <c r="H12" s="26"/>
    </row>
    <row r="13" spans="1:8" ht="15" customHeight="1" x14ac:dyDescent="0.2">
      <c r="B13" s="26"/>
      <c r="C13" s="26"/>
      <c r="D13" s="26"/>
      <c r="E13" s="26"/>
      <c r="F13" s="26"/>
      <c r="G13" s="26"/>
      <c r="H13" s="26"/>
    </row>
    <row r="14" spans="1:8" ht="15" customHeight="1" x14ac:dyDescent="0.2">
      <c r="B14" s="26"/>
      <c r="C14" s="26"/>
      <c r="D14" s="26"/>
      <c r="E14" s="26"/>
      <c r="F14" s="26"/>
      <c r="G14" s="26"/>
      <c r="H14" s="26"/>
    </row>
    <row r="15" spans="1:8" ht="15" customHeight="1" x14ac:dyDescent="0.2">
      <c r="B15" s="26"/>
      <c r="C15" s="26"/>
      <c r="D15" s="26"/>
      <c r="E15" s="26"/>
      <c r="F15" s="26"/>
      <c r="G15" s="26"/>
      <c r="H15" s="26"/>
    </row>
    <row r="16" spans="1:8" ht="15" customHeight="1" x14ac:dyDescent="0.2">
      <c r="B16" s="26"/>
      <c r="C16" s="26"/>
      <c r="D16" s="26"/>
      <c r="E16" s="26"/>
      <c r="F16" s="26"/>
      <c r="G16" s="26"/>
      <c r="H16" s="26"/>
    </row>
    <row r="17" spans="2:8" ht="15" customHeight="1" x14ac:dyDescent="0.2">
      <c r="B17" s="26"/>
      <c r="C17" s="26"/>
      <c r="D17" s="26"/>
      <c r="E17" s="26"/>
      <c r="F17" s="26"/>
      <c r="G17" s="26"/>
      <c r="H17" s="26"/>
    </row>
    <row r="18" spans="2:8" ht="15" customHeight="1" x14ac:dyDescent="0.2">
      <c r="B18" s="26"/>
      <c r="C18" s="26"/>
      <c r="D18" s="26"/>
      <c r="E18" s="26"/>
      <c r="F18" s="26"/>
      <c r="G18" s="26"/>
      <c r="H18" s="26"/>
    </row>
    <row r="19" spans="2:8" ht="15" customHeight="1" x14ac:dyDescent="0.2">
      <c r="B19" s="26"/>
      <c r="C19" s="26"/>
      <c r="D19" s="26"/>
      <c r="E19" s="26"/>
      <c r="F19" s="26"/>
      <c r="G19" s="26"/>
      <c r="H19" s="26"/>
    </row>
    <row r="20" spans="2:8" ht="15" customHeight="1" x14ac:dyDescent="0.2">
      <c r="B20" s="26"/>
      <c r="C20" s="26"/>
      <c r="D20" s="26"/>
      <c r="E20" s="26"/>
      <c r="F20" s="26"/>
      <c r="G20" s="26"/>
      <c r="H20" s="26"/>
    </row>
    <row r="21" spans="2:8" ht="15" customHeight="1" x14ac:dyDescent="0.2">
      <c r="B21" s="26"/>
      <c r="C21" s="26"/>
      <c r="D21" s="26"/>
      <c r="E21" s="26"/>
      <c r="F21" s="26"/>
      <c r="G21" s="26"/>
      <c r="H21" s="26"/>
    </row>
    <row r="22" spans="2:8" ht="15" customHeight="1" x14ac:dyDescent="0.2">
      <c r="B22" s="26"/>
      <c r="C22" s="26"/>
      <c r="D22" s="26"/>
      <c r="E22" s="26"/>
      <c r="F22" s="26"/>
      <c r="G22" s="26"/>
      <c r="H22" s="26"/>
    </row>
    <row r="23" spans="2:8" ht="15" customHeight="1" x14ac:dyDescent="0.2">
      <c r="B23" s="26"/>
      <c r="C23" s="26"/>
      <c r="D23" s="26"/>
      <c r="E23" s="26"/>
      <c r="F23" s="26"/>
      <c r="G23" s="26"/>
      <c r="H23" s="26"/>
    </row>
    <row r="24" spans="2:8" ht="15" customHeight="1" x14ac:dyDescent="0.2">
      <c r="B24" s="26"/>
      <c r="C24" s="26"/>
      <c r="D24" s="26"/>
      <c r="E24" s="26"/>
      <c r="F24" s="26"/>
      <c r="G24" s="26"/>
      <c r="H24" s="26"/>
    </row>
    <row r="25" spans="2:8" ht="15" customHeight="1" x14ac:dyDescent="0.2">
      <c r="B25" s="26"/>
      <c r="C25" s="26"/>
      <c r="D25" s="26"/>
      <c r="E25" s="26"/>
      <c r="F25" s="26"/>
      <c r="G25" s="26"/>
      <c r="H25" s="26"/>
    </row>
    <row r="26" spans="2:8" ht="15" customHeight="1" x14ac:dyDescent="0.2">
      <c r="B26" s="26"/>
      <c r="C26" s="26"/>
      <c r="D26" s="26"/>
      <c r="E26" s="26"/>
      <c r="F26" s="26"/>
      <c r="G26" s="26"/>
      <c r="H26" s="26"/>
    </row>
    <row r="28" spans="2:8" ht="15" customHeight="1" x14ac:dyDescent="0.2">
      <c r="B28" s="22" t="s">
        <v>148</v>
      </c>
      <c r="C28" s="22">
        <f>COUNTA(B6:B26)</f>
        <v>6</v>
      </c>
    </row>
    <row r="29" spans="2:8" ht="15" customHeight="1" x14ac:dyDescent="0.2">
      <c r="B29" s="22" t="s">
        <v>149</v>
      </c>
      <c r="C29" s="22">
        <f>COUNTIF(D6:D26,"Formalized")+COUNTIF(D6:D26,"Remediated")</f>
        <v>0</v>
      </c>
    </row>
    <row r="30" spans="2:8" ht="15" customHeight="1" x14ac:dyDescent="0.2">
      <c r="B30" s="22" t="s">
        <v>150</v>
      </c>
      <c r="C30" s="22">
        <f>SUM(E6:E26)</f>
        <v>495</v>
      </c>
    </row>
    <row r="31" spans="2:8" ht="15" customHeight="1" x14ac:dyDescent="0.2">
      <c r="B31" s="22" t="s">
        <v>151</v>
      </c>
      <c r="C31" s="22">
        <f>SUM(F6:F26)</f>
        <v>110</v>
      </c>
    </row>
  </sheetData>
  <mergeCells count="2">
    <mergeCell ref="A2:G2"/>
    <mergeCell ref="B3:H3"/>
  </mergeCells>
  <dataValidations count="1">
    <dataValidation type="list" allowBlank="1" sqref="D7:D26" xr:uid="{00000000-0002-0000-0600-000000000000}">
      <formula1>"Active (Not Formalized),Partially Formalized,Formalized,Remediated"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30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3" customWidth="1"/>
    <col min="2" max="2" width="27.98046875" style="13" customWidth="1"/>
    <col min="3" max="3" width="16.0078125" style="13" customWidth="1"/>
    <col min="4" max="4" width="18.0234375" style="13" customWidth="1"/>
    <col min="5" max="5" width="13.98828125" style="13" customWidth="1"/>
    <col min="6" max="6" width="22.05859375" style="13" customWidth="1"/>
    <col min="7" max="7" width="20.04296875" style="13" customWidth="1"/>
    <col min="8" max="8" width="18.0234375" style="13" customWidth="1"/>
    <col min="9" max="9" width="29.99609375" style="13" customWidth="1"/>
  </cols>
  <sheetData>
    <row r="2" spans="1:9" ht="25.5" customHeight="1" x14ac:dyDescent="0.2">
      <c r="A2" s="12" t="s">
        <v>152</v>
      </c>
      <c r="B2" s="12"/>
      <c r="C2" s="12"/>
      <c r="D2" s="12"/>
      <c r="E2" s="12"/>
      <c r="F2" s="12"/>
      <c r="G2" s="12"/>
      <c r="H2" s="12"/>
    </row>
    <row r="3" spans="1:9" ht="15" customHeight="1" x14ac:dyDescent="0.2">
      <c r="B3" s="11" t="s">
        <v>153</v>
      </c>
      <c r="C3" s="11"/>
      <c r="D3" s="11"/>
      <c r="E3" s="11"/>
      <c r="F3" s="11"/>
      <c r="G3" s="11"/>
      <c r="H3" s="11"/>
      <c r="I3" s="11"/>
    </row>
    <row r="5" spans="1:9" ht="31.5" customHeight="1" x14ac:dyDescent="0.2">
      <c r="B5" s="14" t="s">
        <v>154</v>
      </c>
      <c r="C5" s="14" t="s">
        <v>46</v>
      </c>
      <c r="D5" s="14" t="s">
        <v>155</v>
      </c>
      <c r="E5" s="14" t="s">
        <v>156</v>
      </c>
      <c r="F5" s="14" t="s">
        <v>157</v>
      </c>
      <c r="G5" s="14" t="s">
        <v>158</v>
      </c>
      <c r="H5" s="14" t="s">
        <v>159</v>
      </c>
      <c r="I5" s="14" t="s">
        <v>77</v>
      </c>
    </row>
    <row r="6" spans="1:9" ht="23.25" customHeight="1" x14ac:dyDescent="0.2">
      <c r="B6" s="26" t="s">
        <v>133</v>
      </c>
      <c r="C6" s="26" t="s">
        <v>56</v>
      </c>
      <c r="D6" s="26" t="s">
        <v>160</v>
      </c>
      <c r="E6" s="26" t="s">
        <v>161</v>
      </c>
      <c r="F6" s="26" t="s">
        <v>162</v>
      </c>
      <c r="G6" s="26" t="s">
        <v>109</v>
      </c>
      <c r="H6" s="26">
        <v>180</v>
      </c>
      <c r="I6" s="26" t="s">
        <v>112</v>
      </c>
    </row>
    <row r="7" spans="1:9" ht="15" customHeight="1" x14ac:dyDescent="0.2">
      <c r="B7" s="26" t="s">
        <v>136</v>
      </c>
      <c r="C7" s="26" t="s">
        <v>56</v>
      </c>
      <c r="D7" s="26" t="s">
        <v>163</v>
      </c>
      <c r="E7" s="26" t="s">
        <v>164</v>
      </c>
      <c r="F7" s="26" t="s">
        <v>165</v>
      </c>
      <c r="G7" s="26" t="s">
        <v>110</v>
      </c>
      <c r="H7" s="26">
        <v>0</v>
      </c>
      <c r="I7" s="26" t="s">
        <v>112</v>
      </c>
    </row>
    <row r="8" spans="1:9" ht="15" customHeight="1" x14ac:dyDescent="0.2">
      <c r="B8" s="26" t="s">
        <v>139</v>
      </c>
      <c r="C8" s="26" t="s">
        <v>56</v>
      </c>
      <c r="D8" s="26" t="s">
        <v>166</v>
      </c>
      <c r="E8" s="26" t="s">
        <v>167</v>
      </c>
      <c r="F8" s="26" t="s">
        <v>168</v>
      </c>
      <c r="G8" s="26" t="s">
        <v>109</v>
      </c>
      <c r="H8" s="26">
        <v>140</v>
      </c>
      <c r="I8" s="26" t="s">
        <v>112</v>
      </c>
    </row>
    <row r="9" spans="1:9" ht="15" customHeight="1" x14ac:dyDescent="0.2">
      <c r="B9" s="26" t="s">
        <v>141</v>
      </c>
      <c r="C9" s="26" t="s">
        <v>66</v>
      </c>
      <c r="D9" s="26" t="s">
        <v>169</v>
      </c>
      <c r="E9" s="26" t="s">
        <v>170</v>
      </c>
      <c r="F9" s="26" t="s">
        <v>165</v>
      </c>
      <c r="G9" s="26" t="s">
        <v>110</v>
      </c>
      <c r="H9" s="26">
        <v>0</v>
      </c>
      <c r="I9" s="26" t="s">
        <v>112</v>
      </c>
    </row>
    <row r="10" spans="1:9" ht="15" customHeight="1" x14ac:dyDescent="0.2">
      <c r="B10" s="26" t="s">
        <v>143</v>
      </c>
      <c r="C10" s="26" t="s">
        <v>67</v>
      </c>
      <c r="D10" s="26" t="s">
        <v>160</v>
      </c>
      <c r="E10" s="26" t="s">
        <v>171</v>
      </c>
      <c r="F10" s="26" t="s">
        <v>162</v>
      </c>
      <c r="G10" s="26" t="s">
        <v>109</v>
      </c>
      <c r="H10" s="26">
        <v>95</v>
      </c>
      <c r="I10" s="26" t="s">
        <v>112</v>
      </c>
    </row>
    <row r="11" spans="1:9" ht="15" customHeight="1" x14ac:dyDescent="0.2">
      <c r="B11" s="26" t="s">
        <v>145</v>
      </c>
      <c r="C11" s="26" t="s">
        <v>56</v>
      </c>
      <c r="D11" s="26" t="s">
        <v>172</v>
      </c>
      <c r="E11" s="26" t="s">
        <v>173</v>
      </c>
      <c r="F11" s="26" t="s">
        <v>174</v>
      </c>
      <c r="G11" s="26" t="s">
        <v>109</v>
      </c>
      <c r="H11" s="26">
        <v>160</v>
      </c>
      <c r="I11" s="26" t="s">
        <v>112</v>
      </c>
    </row>
    <row r="12" spans="1:9" ht="15" customHeight="1" x14ac:dyDescent="0.2">
      <c r="B12" s="26"/>
      <c r="C12" s="26"/>
      <c r="D12" s="26"/>
      <c r="E12" s="26"/>
      <c r="F12" s="26"/>
      <c r="G12" s="26"/>
      <c r="H12" s="26"/>
      <c r="I12" s="26"/>
    </row>
    <row r="13" spans="1:9" ht="15" customHeight="1" x14ac:dyDescent="0.2">
      <c r="B13" s="26"/>
      <c r="C13" s="26"/>
      <c r="D13" s="26"/>
      <c r="E13" s="26"/>
      <c r="F13" s="26"/>
      <c r="G13" s="26"/>
      <c r="H13" s="26"/>
      <c r="I13" s="26"/>
    </row>
    <row r="14" spans="1:9" ht="15" customHeight="1" x14ac:dyDescent="0.2">
      <c r="B14" s="26"/>
      <c r="C14" s="26"/>
      <c r="D14" s="26"/>
      <c r="E14" s="26"/>
      <c r="F14" s="26"/>
      <c r="G14" s="26"/>
      <c r="H14" s="26"/>
      <c r="I14" s="26"/>
    </row>
    <row r="15" spans="1:9" ht="15" customHeight="1" x14ac:dyDescent="0.2">
      <c r="B15" s="26"/>
      <c r="C15" s="26"/>
      <c r="D15" s="26"/>
      <c r="E15" s="26"/>
      <c r="F15" s="26"/>
      <c r="G15" s="26"/>
      <c r="H15" s="26"/>
      <c r="I15" s="26"/>
    </row>
    <row r="16" spans="1:9" ht="15" customHeight="1" x14ac:dyDescent="0.2">
      <c r="B16" s="26"/>
      <c r="C16" s="26"/>
      <c r="D16" s="26"/>
      <c r="E16" s="26"/>
      <c r="F16" s="26"/>
      <c r="G16" s="26"/>
      <c r="H16" s="26"/>
      <c r="I16" s="26"/>
    </row>
    <row r="17" spans="2:9" ht="15" customHeight="1" x14ac:dyDescent="0.2">
      <c r="B17" s="26"/>
      <c r="C17" s="26"/>
      <c r="D17" s="26"/>
      <c r="E17" s="26"/>
      <c r="F17" s="26"/>
      <c r="G17" s="26"/>
      <c r="H17" s="26"/>
      <c r="I17" s="26"/>
    </row>
    <row r="18" spans="2:9" ht="15" customHeight="1" x14ac:dyDescent="0.2">
      <c r="B18" s="26"/>
      <c r="C18" s="26"/>
      <c r="D18" s="26"/>
      <c r="E18" s="26"/>
      <c r="F18" s="26"/>
      <c r="G18" s="26"/>
      <c r="H18" s="26"/>
      <c r="I18" s="26"/>
    </row>
    <row r="19" spans="2:9" ht="15" customHeight="1" x14ac:dyDescent="0.2">
      <c r="B19" s="26"/>
      <c r="C19" s="26"/>
      <c r="D19" s="26"/>
      <c r="E19" s="26"/>
      <c r="F19" s="26"/>
      <c r="G19" s="26"/>
      <c r="H19" s="26"/>
      <c r="I19" s="26"/>
    </row>
    <row r="20" spans="2:9" ht="15" customHeight="1" x14ac:dyDescent="0.2">
      <c r="B20" s="26"/>
      <c r="C20" s="26"/>
      <c r="D20" s="26"/>
      <c r="E20" s="26"/>
      <c r="F20" s="26"/>
      <c r="G20" s="26"/>
      <c r="H20" s="26"/>
      <c r="I20" s="26"/>
    </row>
    <row r="21" spans="2:9" ht="15" customHeight="1" x14ac:dyDescent="0.2">
      <c r="B21" s="26"/>
      <c r="C21" s="26"/>
      <c r="D21" s="26"/>
      <c r="E21" s="26"/>
      <c r="F21" s="26"/>
      <c r="G21" s="26"/>
      <c r="H21" s="26"/>
      <c r="I21" s="26"/>
    </row>
    <row r="22" spans="2:9" ht="15" customHeight="1" x14ac:dyDescent="0.2">
      <c r="B22" s="26"/>
      <c r="C22" s="26"/>
      <c r="D22" s="26"/>
      <c r="E22" s="26"/>
      <c r="F22" s="26"/>
      <c r="G22" s="26"/>
      <c r="H22" s="26"/>
      <c r="I22" s="26"/>
    </row>
    <row r="23" spans="2:9" ht="15" customHeight="1" x14ac:dyDescent="0.2">
      <c r="B23" s="26"/>
      <c r="C23" s="26"/>
      <c r="D23" s="26"/>
      <c r="E23" s="26"/>
      <c r="F23" s="26"/>
      <c r="G23" s="26"/>
      <c r="H23" s="26"/>
      <c r="I23" s="26"/>
    </row>
    <row r="24" spans="2:9" ht="15" customHeight="1" x14ac:dyDescent="0.2">
      <c r="B24" s="26"/>
      <c r="C24" s="26"/>
      <c r="D24" s="26"/>
      <c r="E24" s="26"/>
      <c r="F24" s="26"/>
      <c r="G24" s="26"/>
      <c r="H24" s="26"/>
      <c r="I24" s="26"/>
    </row>
    <row r="25" spans="2:9" ht="15" customHeight="1" x14ac:dyDescent="0.2">
      <c r="B25" s="26"/>
      <c r="C25" s="26"/>
      <c r="D25" s="26"/>
      <c r="E25" s="26"/>
      <c r="F25" s="26"/>
      <c r="G25" s="26"/>
      <c r="H25" s="26"/>
      <c r="I25" s="26"/>
    </row>
    <row r="26" spans="2:9" ht="15" customHeight="1" x14ac:dyDescent="0.2">
      <c r="B26" s="26"/>
      <c r="C26" s="26"/>
      <c r="D26" s="26"/>
      <c r="E26" s="26"/>
      <c r="F26" s="26"/>
      <c r="G26" s="26"/>
      <c r="H26" s="26"/>
      <c r="I26" s="26"/>
    </row>
    <row r="28" spans="2:9" ht="15" customHeight="1" x14ac:dyDescent="0.2">
      <c r="B28" s="22" t="s">
        <v>175</v>
      </c>
      <c r="C28" s="22">
        <f>SUMPRODUCT((B6:B26&lt;&gt;"")/COUNTIF(B6:B26,B6:B26&amp;""))</f>
        <v>6</v>
      </c>
    </row>
    <row r="29" spans="2:9" ht="15" customHeight="1" x14ac:dyDescent="0.2">
      <c r="B29" s="22" t="s">
        <v>176</v>
      </c>
      <c r="C29" s="22">
        <f>COUNTIF(F6:F26,"Yes")</f>
        <v>0</v>
      </c>
    </row>
    <row r="30" spans="2:9" ht="15" customHeight="1" x14ac:dyDescent="0.2">
      <c r="B30" s="22" t="s">
        <v>177</v>
      </c>
      <c r="C30" s="22">
        <f>SUM(G6:G26)</f>
        <v>0</v>
      </c>
    </row>
  </sheetData>
  <mergeCells count="2">
    <mergeCell ref="A2:H2"/>
    <mergeCell ref="B3:I3"/>
  </mergeCells>
  <dataValidations count="3">
    <dataValidation type="list" allowBlank="1" sqref="D7:D26" xr:uid="{00000000-0002-0000-0700-000000000000}">
      <formula1>"Soil,Water,Air,Soil + Water,Soil + Water + Air"</formula1>
      <formula2>0</formula2>
    </dataValidation>
    <dataValidation type="list" allowBlank="1" sqref="E7:E26" xr:uid="{00000000-0002-0000-0700-000001000000}">
      <formula1>"Within Limit,Exceeds Limit,Pending Analysis"</formula1>
      <formula2>0</formula2>
    </dataValidation>
    <dataValidation type="list" allowBlank="1" sqref="F7:F26" xr:uid="{00000000-0002-0000-07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G30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3" customWidth="1"/>
    <col min="2" max="2" width="29.99609375" style="13" customWidth="1"/>
    <col min="3" max="4" width="16.0078125" style="13" customWidth="1"/>
    <col min="5" max="6" width="22.05859375" style="13" customWidth="1"/>
    <col min="7" max="7" width="20.04296875" style="13" customWidth="1"/>
  </cols>
  <sheetData>
    <row r="2" spans="1:7" ht="25.5" customHeight="1" x14ac:dyDescent="0.2">
      <c r="A2" s="12" t="s">
        <v>178</v>
      </c>
      <c r="B2" s="12"/>
      <c r="C2" s="12"/>
      <c r="D2" s="12"/>
      <c r="E2" s="12"/>
      <c r="F2" s="12"/>
    </row>
    <row r="3" spans="1:7" ht="15" customHeight="1" x14ac:dyDescent="0.2">
      <c r="B3" s="4" t="s">
        <v>179</v>
      </c>
      <c r="C3" s="4"/>
      <c r="D3" s="4"/>
      <c r="E3" s="4"/>
      <c r="F3" s="4"/>
      <c r="G3" s="4"/>
    </row>
    <row r="5" spans="1:7" ht="31.5" customHeight="1" x14ac:dyDescent="0.2">
      <c r="B5" s="14" t="s">
        <v>180</v>
      </c>
      <c r="C5" s="14" t="s">
        <v>46</v>
      </c>
      <c r="D5" s="14" t="s">
        <v>156</v>
      </c>
      <c r="E5" s="14" t="s">
        <v>181</v>
      </c>
      <c r="F5" s="14" t="s">
        <v>182</v>
      </c>
      <c r="G5" s="14" t="s">
        <v>183</v>
      </c>
    </row>
    <row r="6" spans="1:7" ht="15" customHeight="1" x14ac:dyDescent="0.2">
      <c r="B6" s="26" t="s">
        <v>184</v>
      </c>
      <c r="C6" s="26" t="s">
        <v>56</v>
      </c>
      <c r="D6" s="26" t="s">
        <v>185</v>
      </c>
      <c r="E6" s="26" t="s">
        <v>186</v>
      </c>
      <c r="F6" s="26" t="s">
        <v>187</v>
      </c>
      <c r="G6" s="26">
        <v>1400</v>
      </c>
    </row>
    <row r="7" spans="1:7" ht="15" customHeight="1" x14ac:dyDescent="0.2">
      <c r="B7" s="26" t="s">
        <v>188</v>
      </c>
      <c r="C7" s="26" t="s">
        <v>56</v>
      </c>
      <c r="D7" s="26" t="s">
        <v>189</v>
      </c>
      <c r="E7" s="26" t="s">
        <v>190</v>
      </c>
      <c r="F7" s="26" t="s">
        <v>191</v>
      </c>
      <c r="G7" s="26">
        <v>950</v>
      </c>
    </row>
    <row r="8" spans="1:7" ht="15" customHeight="1" x14ac:dyDescent="0.2">
      <c r="B8" s="26" t="s">
        <v>192</v>
      </c>
      <c r="C8" s="26" t="s">
        <v>56</v>
      </c>
      <c r="D8" s="26" t="s">
        <v>193</v>
      </c>
      <c r="E8" s="26" t="s">
        <v>194</v>
      </c>
      <c r="F8" s="26" t="s">
        <v>195</v>
      </c>
      <c r="G8" s="26">
        <v>220</v>
      </c>
    </row>
    <row r="9" spans="1:7" ht="15" customHeight="1" x14ac:dyDescent="0.2">
      <c r="B9" s="26" t="s">
        <v>196</v>
      </c>
      <c r="C9" s="26" t="s">
        <v>66</v>
      </c>
      <c r="D9" s="26" t="s">
        <v>197</v>
      </c>
      <c r="E9" s="26" t="s">
        <v>198</v>
      </c>
      <c r="F9" s="26" t="s">
        <v>199</v>
      </c>
      <c r="G9" s="26">
        <v>600</v>
      </c>
    </row>
    <row r="10" spans="1:7" ht="15" customHeight="1" x14ac:dyDescent="0.2">
      <c r="B10" s="26" t="s">
        <v>200</v>
      </c>
      <c r="C10" s="26" t="s">
        <v>59</v>
      </c>
      <c r="D10" s="26" t="s">
        <v>201</v>
      </c>
      <c r="E10" s="26" t="s">
        <v>202</v>
      </c>
      <c r="F10" s="26" t="s">
        <v>203</v>
      </c>
      <c r="G10" s="26">
        <v>500</v>
      </c>
    </row>
    <row r="11" spans="1:7" ht="15" customHeight="1" x14ac:dyDescent="0.2">
      <c r="B11" s="26" t="s">
        <v>204</v>
      </c>
      <c r="C11" s="26" t="s">
        <v>56</v>
      </c>
      <c r="D11" s="26" t="s">
        <v>205</v>
      </c>
      <c r="E11" s="26" t="s">
        <v>198</v>
      </c>
      <c r="F11" s="26" t="s">
        <v>206</v>
      </c>
      <c r="G11" s="26">
        <v>780</v>
      </c>
    </row>
    <row r="12" spans="1:7" ht="15" customHeight="1" x14ac:dyDescent="0.2">
      <c r="B12" s="26" t="s">
        <v>207</v>
      </c>
      <c r="C12" s="26" t="s">
        <v>64</v>
      </c>
      <c r="D12" s="26" t="s">
        <v>171</v>
      </c>
      <c r="E12" s="26" t="s">
        <v>186</v>
      </c>
      <c r="F12" s="26" t="s">
        <v>208</v>
      </c>
      <c r="G12" s="26">
        <v>350</v>
      </c>
    </row>
    <row r="13" spans="1:7" ht="15" customHeight="1" x14ac:dyDescent="0.2">
      <c r="B13" s="26" t="s">
        <v>209</v>
      </c>
      <c r="C13" s="26" t="s">
        <v>58</v>
      </c>
      <c r="D13" s="26" t="s">
        <v>210</v>
      </c>
      <c r="E13" s="26" t="s">
        <v>194</v>
      </c>
      <c r="F13" s="26" t="s">
        <v>211</v>
      </c>
      <c r="G13" s="26">
        <v>150</v>
      </c>
    </row>
    <row r="14" spans="1:7" ht="15" customHeight="1" x14ac:dyDescent="0.2">
      <c r="B14" s="26"/>
      <c r="C14" s="26"/>
      <c r="D14" s="26"/>
      <c r="E14" s="26"/>
      <c r="F14" s="26"/>
      <c r="G14" s="26"/>
    </row>
    <row r="15" spans="1:7" ht="15" customHeight="1" x14ac:dyDescent="0.2">
      <c r="B15" s="26"/>
      <c r="C15" s="26"/>
      <c r="D15" s="26"/>
      <c r="E15" s="26"/>
      <c r="F15" s="26"/>
      <c r="G15" s="26"/>
    </row>
    <row r="16" spans="1:7" ht="15" customHeight="1" x14ac:dyDescent="0.2">
      <c r="B16" s="26"/>
      <c r="C16" s="26"/>
      <c r="D16" s="26"/>
      <c r="E16" s="26"/>
      <c r="F16" s="26"/>
      <c r="G16" s="26"/>
    </row>
    <row r="17" spans="2:7" ht="15" customHeight="1" x14ac:dyDescent="0.2">
      <c r="B17" s="26"/>
      <c r="C17" s="26"/>
      <c r="D17" s="26"/>
      <c r="E17" s="26"/>
      <c r="F17" s="26"/>
      <c r="G17" s="26"/>
    </row>
    <row r="18" spans="2:7" ht="15" customHeight="1" x14ac:dyDescent="0.2">
      <c r="B18" s="26"/>
      <c r="C18" s="26"/>
      <c r="D18" s="26"/>
      <c r="E18" s="26"/>
      <c r="F18" s="26"/>
      <c r="G18" s="26"/>
    </row>
    <row r="19" spans="2:7" ht="15" customHeight="1" x14ac:dyDescent="0.2">
      <c r="B19" s="26"/>
      <c r="C19" s="26"/>
      <c r="D19" s="26"/>
      <c r="E19" s="26"/>
      <c r="F19" s="26"/>
      <c r="G19" s="26"/>
    </row>
    <row r="20" spans="2:7" ht="15" customHeight="1" x14ac:dyDescent="0.2">
      <c r="B20" s="26"/>
      <c r="C20" s="26"/>
      <c r="D20" s="26"/>
      <c r="E20" s="26"/>
      <c r="F20" s="26"/>
      <c r="G20" s="26"/>
    </row>
    <row r="21" spans="2:7" ht="15" customHeight="1" x14ac:dyDescent="0.2">
      <c r="B21" s="26"/>
      <c r="C21" s="26"/>
      <c r="D21" s="26"/>
      <c r="E21" s="26"/>
      <c r="F21" s="26"/>
      <c r="G21" s="26"/>
    </row>
    <row r="22" spans="2:7" ht="15" customHeight="1" x14ac:dyDescent="0.2">
      <c r="B22" s="26"/>
      <c r="C22" s="26"/>
      <c r="D22" s="26"/>
      <c r="E22" s="26"/>
      <c r="F22" s="26"/>
      <c r="G22" s="26"/>
    </row>
    <row r="23" spans="2:7" ht="15" customHeight="1" x14ac:dyDescent="0.2">
      <c r="B23" s="26"/>
      <c r="C23" s="26"/>
      <c r="D23" s="26"/>
      <c r="E23" s="26"/>
      <c r="F23" s="26"/>
      <c r="G23" s="26"/>
    </row>
    <row r="24" spans="2:7" ht="15" customHeight="1" x14ac:dyDescent="0.2">
      <c r="B24" s="26"/>
      <c r="C24" s="26"/>
      <c r="D24" s="26"/>
      <c r="E24" s="26"/>
      <c r="F24" s="26"/>
      <c r="G24" s="26"/>
    </row>
    <row r="25" spans="2:7" ht="15" customHeight="1" x14ac:dyDescent="0.2">
      <c r="B25" s="26"/>
      <c r="C25" s="26"/>
      <c r="D25" s="26"/>
      <c r="E25" s="26"/>
      <c r="F25" s="26"/>
      <c r="G25" s="26"/>
    </row>
    <row r="26" spans="2:7" ht="15" customHeight="1" x14ac:dyDescent="0.2">
      <c r="B26" s="26"/>
      <c r="C26" s="26"/>
      <c r="D26" s="26"/>
      <c r="E26" s="26"/>
      <c r="F26" s="26"/>
      <c r="G26" s="26"/>
    </row>
    <row r="28" spans="2:7" ht="15" customHeight="1" x14ac:dyDescent="0.2">
      <c r="B28" s="22" t="s">
        <v>212</v>
      </c>
      <c r="C28" s="22">
        <f>COUNTA(B6:B26)</f>
        <v>8</v>
      </c>
    </row>
    <row r="29" spans="2:7" ht="15" customHeight="1" x14ac:dyDescent="0.2">
      <c r="B29" s="22" t="s">
        <v>213</v>
      </c>
      <c r="C29" s="22">
        <f>COUNTIF(D6:D26,"School Collection Drive")+COUNTIF(D6:D26,"RWA/Community Drive")</f>
        <v>0</v>
      </c>
    </row>
    <row r="30" spans="2:7" ht="15" customHeight="1" x14ac:dyDescent="0.2">
      <c r="B30" s="22" t="s">
        <v>214</v>
      </c>
      <c r="C30" s="22">
        <f>SUM(F6:F26)</f>
        <v>0</v>
      </c>
    </row>
  </sheetData>
  <mergeCells count="2">
    <mergeCell ref="A2:F2"/>
    <mergeCell ref="B3:G3"/>
  </mergeCells>
  <dataValidations count="1">
    <dataValidation type="list" allowBlank="1" sqref="D7:D26" xr:uid="{00000000-0002-0000-0800-000000000000}">
      <formula1>"Awareness Campaign,School Collection Drive,RWA/Community Drive,Industry Outreach,Media Campaign"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6"/>
  <sheetViews>
    <sheetView zoomScaleNormal="100" workbookViewId="0"/>
  </sheetViews>
  <sheetFormatPr defaultColWidth="8.7421875" defaultRowHeight="15" x14ac:dyDescent="0.2"/>
  <cols>
    <col min="1" max="1" width="22.05859375" style="13" customWidth="1"/>
    <col min="2" max="3" width="41.96875" style="13" customWidth="1"/>
    <col min="4" max="4" width="46.00390625" style="13" customWidth="1"/>
  </cols>
  <sheetData>
    <row r="1" spans="1:4" ht="25.5" customHeight="1" x14ac:dyDescent="0.2">
      <c r="A1" s="3" t="s">
        <v>215</v>
      </c>
      <c r="B1" s="3"/>
      <c r="C1" s="3"/>
      <c r="D1" s="3"/>
    </row>
    <row r="3" spans="1:4" ht="15" customHeight="1" x14ac:dyDescent="0.2">
      <c r="A3" s="2" t="s">
        <v>216</v>
      </c>
      <c r="B3" s="2"/>
      <c r="C3" s="2"/>
      <c r="D3" s="2"/>
    </row>
    <row r="4" spans="1:4" ht="15" customHeight="1" x14ac:dyDescent="0.2">
      <c r="A4" s="2"/>
      <c r="B4" s="2"/>
      <c r="C4" s="2"/>
      <c r="D4" s="2"/>
    </row>
    <row r="5" spans="1:4" ht="15" customHeight="1" x14ac:dyDescent="0.2">
      <c r="A5" s="2"/>
      <c r="B5" s="2"/>
      <c r="C5" s="2"/>
      <c r="D5" s="2"/>
    </row>
    <row r="7" spans="1:4" ht="15" customHeight="1" x14ac:dyDescent="0.2">
      <c r="A7" s="31" t="s">
        <v>217</v>
      </c>
      <c r="B7" s="31" t="s">
        <v>218</v>
      </c>
      <c r="C7" s="31" t="s">
        <v>219</v>
      </c>
      <c r="D7" s="31" t="s">
        <v>220</v>
      </c>
    </row>
    <row r="8" spans="1:4" ht="90" customHeight="1" x14ac:dyDescent="0.2">
      <c r="A8" s="32" t="s">
        <v>221</v>
      </c>
      <c r="B8" s="32" t="s">
        <v>222</v>
      </c>
      <c r="C8" s="32" t="s">
        <v>223</v>
      </c>
      <c r="D8" s="32" t="s">
        <v>224</v>
      </c>
    </row>
    <row r="9" spans="1:4" ht="90" customHeight="1" x14ac:dyDescent="0.2">
      <c r="A9" s="32" t="s">
        <v>225</v>
      </c>
      <c r="B9" s="32" t="s">
        <v>226</v>
      </c>
      <c r="C9" s="32" t="s">
        <v>227</v>
      </c>
      <c r="D9" s="32" t="s">
        <v>228</v>
      </c>
    </row>
    <row r="10" spans="1:4" ht="90" customHeight="1" x14ac:dyDescent="0.2">
      <c r="A10" s="32" t="s">
        <v>229</v>
      </c>
      <c r="B10" s="32" t="s">
        <v>230</v>
      </c>
      <c r="C10" s="32" t="s">
        <v>231</v>
      </c>
      <c r="D10" s="32" t="s">
        <v>232</v>
      </c>
    </row>
    <row r="11" spans="1:4" ht="90" customHeight="1" x14ac:dyDescent="0.2">
      <c r="A11" s="32" t="s">
        <v>233</v>
      </c>
      <c r="B11" s="32" t="s">
        <v>234</v>
      </c>
      <c r="C11" s="32" t="s">
        <v>235</v>
      </c>
      <c r="D11" s="32" t="s">
        <v>236</v>
      </c>
    </row>
    <row r="12" spans="1:4" ht="90" customHeight="1" x14ac:dyDescent="0.2">
      <c r="A12" s="32" t="s">
        <v>237</v>
      </c>
      <c r="B12" s="32" t="s">
        <v>238</v>
      </c>
      <c r="C12" s="32" t="s">
        <v>235</v>
      </c>
      <c r="D12" s="32" t="s">
        <v>239</v>
      </c>
    </row>
    <row r="13" spans="1:4" ht="90" customHeight="1" x14ac:dyDescent="0.2">
      <c r="A13" s="32" t="s">
        <v>240</v>
      </c>
      <c r="B13" s="32" t="s">
        <v>241</v>
      </c>
      <c r="C13" s="32" t="s">
        <v>235</v>
      </c>
      <c r="D13" s="32" t="s">
        <v>242</v>
      </c>
    </row>
    <row r="14" spans="1:4" ht="90" customHeight="1" x14ac:dyDescent="0.2">
      <c r="A14" s="32" t="s">
        <v>243</v>
      </c>
      <c r="B14" s="32" t="s">
        <v>244</v>
      </c>
      <c r="C14" s="32" t="s">
        <v>235</v>
      </c>
      <c r="D14" s="32" t="s">
        <v>245</v>
      </c>
    </row>
    <row r="15" spans="1:4" ht="90" customHeight="1" x14ac:dyDescent="0.2">
      <c r="A15" s="32" t="s">
        <v>246</v>
      </c>
      <c r="B15" s="32" t="s">
        <v>247</v>
      </c>
      <c r="C15" s="32" t="s">
        <v>248</v>
      </c>
      <c r="D15" s="32" t="s">
        <v>235</v>
      </c>
    </row>
    <row r="17" spans="1:4" ht="15" customHeight="1" x14ac:dyDescent="0.2">
      <c r="A17" s="33" t="s">
        <v>249</v>
      </c>
    </row>
    <row r="18" spans="1:4" ht="27.75" customHeight="1" x14ac:dyDescent="0.2">
      <c r="A18" s="1" t="s">
        <v>250</v>
      </c>
      <c r="B18" s="1"/>
      <c r="C18" s="1"/>
      <c r="D18" s="1"/>
    </row>
    <row r="19" spans="1:4" ht="27.75" customHeight="1" x14ac:dyDescent="0.2">
      <c r="A19" s="1" t="s">
        <v>251</v>
      </c>
      <c r="B19" s="1"/>
      <c r="C19" s="1"/>
      <c r="D19" s="1"/>
    </row>
    <row r="20" spans="1:4" ht="27.75" customHeight="1" x14ac:dyDescent="0.2">
      <c r="A20" s="1" t="s">
        <v>252</v>
      </c>
      <c r="B20" s="1"/>
      <c r="C20" s="1"/>
      <c r="D20" s="1"/>
    </row>
    <row r="21" spans="1:4" ht="27.75" customHeight="1" x14ac:dyDescent="0.2">
      <c r="A21" s="1" t="s">
        <v>253</v>
      </c>
      <c r="B21" s="1"/>
      <c r="C21" s="1"/>
      <c r="D21" s="1"/>
    </row>
    <row r="22" spans="1:4" ht="27.75" customHeight="1" x14ac:dyDescent="0.2">
      <c r="A22" s="1" t="s">
        <v>254</v>
      </c>
      <c r="B22" s="1"/>
      <c r="C22" s="1"/>
      <c r="D22" s="1"/>
    </row>
    <row r="23" spans="1:4" ht="27.75" customHeight="1" x14ac:dyDescent="0.2">
      <c r="A23" s="1" t="s">
        <v>255</v>
      </c>
      <c r="B23" s="1"/>
      <c r="C23" s="1"/>
      <c r="D23" s="1"/>
    </row>
    <row r="24" spans="1:4" ht="27.75" customHeight="1" x14ac:dyDescent="0.2">
      <c r="A24" s="1" t="s">
        <v>256</v>
      </c>
      <c r="B24" s="1"/>
      <c r="C24" s="1"/>
      <c r="D24" s="1"/>
    </row>
    <row r="25" spans="1:4" ht="27.75" customHeight="1" x14ac:dyDescent="0.2">
      <c r="A25" s="1" t="s">
        <v>257</v>
      </c>
      <c r="B25" s="1"/>
      <c r="C25" s="1"/>
      <c r="D25" s="1"/>
    </row>
    <row r="26" spans="1:4" ht="27.75" customHeight="1" x14ac:dyDescent="0.2">
      <c r="A26" s="1" t="s">
        <v>258</v>
      </c>
      <c r="B26" s="1"/>
      <c r="C26" s="1"/>
      <c r="D26" s="1"/>
    </row>
  </sheetData>
  <mergeCells count="11">
    <mergeCell ref="A26:D26"/>
    <mergeCell ref="A21:D21"/>
    <mergeCell ref="A22:D22"/>
    <mergeCell ref="A23:D23"/>
    <mergeCell ref="A24:D24"/>
    <mergeCell ref="A25:D25"/>
    <mergeCell ref="A1:D1"/>
    <mergeCell ref="A3:D5"/>
    <mergeCell ref="A18:D18"/>
    <mergeCell ref="A19:D19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E45BCADE012848BADD84F0F5519C36" ma:contentTypeVersion="13" ma:contentTypeDescription="Create a new document." ma:contentTypeScope="" ma:versionID="749d6923f222eb45ac0dc6063575a178">
  <xsd:schema xmlns:xsd="http://www.w3.org/2001/XMLSchema" xmlns:xs="http://www.w3.org/2001/XMLSchema" xmlns:p="http://schemas.microsoft.com/office/2006/metadata/properties" xmlns:ns2="c49d017b-ac22-4c0b-a7a4-c8b9eca6cd70" xmlns:ns3="e0d206d7-ee7c-42da-b133-6e7342787b39" targetNamespace="http://schemas.microsoft.com/office/2006/metadata/properties" ma:root="true" ma:fieldsID="e99e7a50f06ef0e0bf1d9a36c1212498" ns2:_="" ns3:_="">
    <xsd:import namespace="c49d017b-ac22-4c0b-a7a4-c8b9eca6cd70"/>
    <xsd:import namespace="e0d206d7-ee7c-42da-b133-6e7342787b3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d017b-ac22-4c0b-a7a4-c8b9eca6cd7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206d7-ee7c-42da-b133-6e7342787b3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d6c0a8-0dd6-40f9-b8c8-aca075772b73}" ma:internalName="TaxCatchAll" ma:showField="CatchAllData" ma:web="e0d206d7-ee7c-42da-b133-6e7342787b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9d017b-ac22-4c0b-a7a4-c8b9eca6cd70">
      <Terms xmlns="http://schemas.microsoft.com/office/infopath/2007/PartnerControls"/>
    </lcf76f155ced4ddcb4097134ff3c332f>
    <TaxCatchAll xmlns="e0d206d7-ee7c-42da-b133-6e7342787b39" xsi:nil="true"/>
    <ReferenceId xmlns="c49d017b-ac22-4c0b-a7a4-c8b9eca6cd70" xsi:nil="true"/>
  </documentManagement>
</p:properties>
</file>

<file path=customXml/itemProps1.xml><?xml version="1.0" encoding="utf-8"?>
<ds:datastoreItem xmlns:ds="http://schemas.openxmlformats.org/officeDocument/2006/customXml" ds:itemID="{3B8755BA-9369-4A9E-82ED-8C31BC67AEBB}"/>
</file>

<file path=customXml/itemProps2.xml><?xml version="1.0" encoding="utf-8"?>
<ds:datastoreItem xmlns:ds="http://schemas.openxmlformats.org/officeDocument/2006/customXml" ds:itemID="{C1D3FE5F-3232-4C69-A911-0AFD27EA8C75}"/>
</file>

<file path=customXml/itemProps3.xml><?xml version="1.0" encoding="utf-8"?>
<ds:datastoreItem xmlns:ds="http://schemas.openxmlformats.org/officeDocument/2006/customXml" ds:itemID="{59FAA015-0666-4E25-A426-45C4F3B603D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0_Scorecard</vt:lpstr>
      <vt:lpstr>Instructions</vt:lpstr>
      <vt:lpstr>1_Generation_Inventory</vt:lpstr>
      <vt:lpstr>2_Collection_Log</vt:lpstr>
      <vt:lpstr>3_Recycling_Infrastructure</vt:lpstr>
      <vt:lpstr>4_Compliance_Tracker</vt:lpstr>
      <vt:lpstr>5_Informal_Sector_Hotspots</vt:lpstr>
      <vt:lpstr>6_Env_Health_Monitoring</vt:lpstr>
      <vt:lpstr>7_Awareness_Programs</vt:lpstr>
      <vt:lpstr>8_Data_Sources_Notes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2026-07-16T04:20:02Z</dcterms:created>
  <dcterms:modified xsi:type="dcterms:W3CDTF">2026-07-16T05:31:59Z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0x01010029E45BCADE012848BADD84F0F5519C36</vt:lpwstr>
  </property>
</Properties>
</file>